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7. Strategic Summary" sheetId="1" state="visible" r:id="rId3"/>
    <sheet name="1. Tool Overview" sheetId="2" state="visible" r:id="rId4"/>
    <sheet name="2. Feature Matrix" sheetId="3" state="visible" r:id="rId5"/>
    <sheet name="3. API &amp; Data" sheetId="4" state="visible" r:id="rId6"/>
    <sheet name="4. Game Version Support" sheetId="5" state="visible" r:id="rId7"/>
    <sheet name="5. Monetization" sheetId="6" state="visible" r:id="rId8"/>
    <sheet name="6. Gaps &amp; Opportuniti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<sst xmlns="http://schemas.openxmlformats.org/spreadsheetml/2006/main" count="1237" uniqueCount="492">
  <si>
    <t xml:space="preserve">WoWCollectorTracker - Competitive Matrix</t>
  </si>
  <si>
    <t xml:space="preserve">Where the WoW tools market sits today, where the gaps are, and where to plant a flag.</t>
  </si>
  <si>
    <t xml:space="preserve">Quick stats</t>
  </si>
  <si>
    <t xml:space="preserve">Tools analyzed (excl. ours)</t>
  </si>
  <si>
    <t xml:space="preserve">Features tracked</t>
  </si>
  <si>
    <t xml:space="preserve">56</t>
  </si>
  <si>
    <t xml:space="preserve">Game versions covered in scope</t>
  </si>
  <si>
    <t xml:space="preserve">6</t>
  </si>
  <si>
    <t xml:space="preserve">Identified gaps &amp; opportunities</t>
  </si>
  <si>
    <t xml:space="preserve">P0 (must-have for MVP) gaps</t>
  </si>
  <si>
    <t xml:space="preserve">P1 (v2) gaps</t>
  </si>
  <si>
    <t xml:space="preserve">P2 (v3+) gaps</t>
  </si>
  <si>
    <t xml:space="preserve">Key takeaways</t>
  </si>
  <si>
    <t xml:space="preserve">1. The WoW tools market is FRAGMENTED - most users open 4-6 different sites for any serious task. No unified product exists.</t>
  </si>
  <si>
    <t xml:space="preserve">2. MOBILE is the biggest white space. Only Blizzard's official app is iOS-native, and it does almost nothing useful.</t>
  </si>
  <si>
    <t xml:space="preserve">3. NO SOCIAL PLATFORM exists. WoWProgress is 2008-era. Raider.IO is dungeons-only. Battle.net profiles are barebones. Strava-for-WoW is open whitespace.</t>
  </si>
  <si>
    <t xml:space="preserve">4. AI is COMPLETELY UNUSED in this space. A WoW AI assistant (Discord bot + in-game addon + mobile chat) is a defensible position.</t>
  </si>
  <si>
    <t xml:space="preserve">5. PUSH NOTIFICATIONS for time-sensitive events (resets, AH undercuts, rare spawns) are owned by Discord bots, not consumer apps.</t>
  </si>
  <si>
    <t xml:space="preserve">6. The AH category alone has 5+ web tools (TSM, WowAuctions, etc.) - the gap is NOT data, it's mobile + push.</t>
  </si>
  <si>
    <t xml:space="preserve">7. ADDON MANAGEMENT is fragmented (CurseForge, Wago Addons, WowUp). No mobile presence. CurseForge API exposes download stats we can leverage.</t>
  </si>
  <si>
    <t xml:space="preserve">8. WARCRAFT.WIKI.GG (post-2023) is the active community wiki, not Wowpedia/Fandom. Best RAG source w/ CC BY-SA license.</t>
  </si>
  <si>
    <t xml:space="preserve">9. The proven monetization model is FREEMIUM at $5-15/mo. ~5-10% conversion rate is realistic.</t>
  </si>
  <si>
    <t xml:space="preserve">10. COMMERCIAL USE of Battle.net + TSM APIs requires partnership/agreement review. #1 legal risk.</t>
  </si>
  <si>
    <t xml:space="preserve">11. WoW addons CANNOT make HTTP requests - any in-game online feature requires the TSM-pattern (addon + desktop companion + backend).</t>
  </si>
  <si>
    <t xml:space="preserve">12. The super-app moat isn't beating each specialist - it's being the only product that STITCHES THEM TOGETHER with AI + social graph.</t>
  </si>
  <si>
    <t xml:space="preserve">13. SUPPORTING ALL 3 GAME VERSIONS (Retail + Classic Era/SoD + Cata) ~triples data complexity. Architect for it from day 1; ship Retail first.</t>
  </si>
  <si>
    <t xml:space="preserve">Phased build (per your direction)</t>
  </si>
  <si>
    <t xml:space="preserve">Phase 1 (Months 0-4)</t>
  </si>
  <si>
    <t xml:space="preserve">Mobile + web: collection tracker + shareable profile pages + AI daily briefing + push. Retail only. Free + ads. Profiles = viral surface.</t>
  </si>
  <si>
    <t xml:space="preserve">Phase 2 (Months 4-8)</t>
  </si>
  <si>
    <t xml:space="preserve">Activity feed + follow/friends graph + achievement showcases. AH intelligence module + smart alerts. Premium tier $4.99/mo. Add Classic Era/SoD.</t>
  </si>
  <si>
    <t xml:space="preserve">Phase 3 (Months 8-12)</t>
  </si>
  <si>
    <t xml:space="preserve">AI assistant: Discord bot first (RAG over Warcraft Wiki + game data). Profession + class/build modules. News aggregator. Add Cata Classic.</t>
  </si>
  <si>
    <t xml:space="preserve">Phase 4 (Months 12-18)</t>
  </si>
  <si>
    <t xml:space="preserve">Addon library sync + recommendations (CurseForge/Wago APIs). In-game addon + desktop companion (TSM-pattern) for live AI Q&amp;A. Gear optimization (SimC).</t>
  </si>
  <si>
    <t xml:space="preserve">Phase 5 (Months 18-24)</t>
  </si>
  <si>
    <t xml:space="preserve">Apple Watch, voice (Siri), guild tournaments, in-app messaging, expansion to other Blizzard games (Diablo, Overwatch) or other MMOs (FF14).</t>
  </si>
  <si>
    <t xml:space="preserve">Legend</t>
  </si>
  <si>
    <t xml:space="preserve">Y</t>
  </si>
  <si>
    <t xml:space="preserve">Full feature support</t>
  </si>
  <si>
    <t xml:space="preserve">P</t>
  </si>
  <si>
    <t xml:space="preserve">Partial support</t>
  </si>
  <si>
    <t xml:space="preserve">(blank)</t>
  </si>
  <si>
    <t xml:space="preserve">No support</t>
  </si>
  <si>
    <t xml:space="preserve">P0</t>
  </si>
  <si>
    <t xml:space="preserve">MVP must-have</t>
  </si>
  <si>
    <t xml:space="preserve">P1</t>
  </si>
  <si>
    <t xml:space="preserve">v2 priority</t>
  </si>
  <si>
    <t xml:space="preserve">P2</t>
  </si>
  <si>
    <t xml:space="preserve">v3+ nice-to-have</t>
  </si>
  <si>
    <t xml:space="preserve">Highlighted row</t>
  </si>
  <si>
    <t xml:space="preserve">WoWCollectorTracker (target state)</t>
  </si>
  <si>
    <t xml:space="preserve">#</t>
  </si>
  <si>
    <t xml:space="preserve">Tool</t>
  </si>
  <si>
    <t xml:space="preserve">URL</t>
  </si>
  <si>
    <t xml:space="preserve">Primary Purpose</t>
  </si>
  <si>
    <t xml:space="preserve">Owner</t>
  </si>
  <si>
    <t xml:space="preserve">Est. Founded</t>
  </si>
  <si>
    <t xml:space="preserve">Wowhead</t>
  </si>
  <si>
    <t xml:space="preserve">wowhead.com</t>
  </si>
  <si>
    <t xml:space="preserve">Database + guides + news</t>
  </si>
  <si>
    <t xml:space="preserve">Fanbyte/Tencent</t>
  </si>
  <si>
    <t xml:space="preserve">Simple Armory</t>
  </si>
  <si>
    <t xml:space="preserve">simplearmory.com</t>
  </si>
  <si>
    <t xml:space="preserve">Collection tracker (web)</t>
  </si>
  <si>
    <t xml:space="preserve">Independent</t>
  </si>
  <si>
    <t xml:space="preserve">Data for Azeroth</t>
  </si>
  <si>
    <t xml:space="preserve">dataforazeroth.com</t>
  </si>
  <si>
    <t xml:space="preserve">Account rankings + collections</t>
  </si>
  <si>
    <t xml:space="preserve">Wow-Pets</t>
  </si>
  <si>
    <t xml:space="preserve">wow-pets.com</t>
  </si>
  <si>
    <t xml:space="preserve">Pet collection database</t>
  </si>
  <si>
    <t xml:space="preserve">Raider.IO</t>
  </si>
  <si>
    <t xml:space="preserve">raider.io</t>
  </si>
  <si>
    <t xml:space="preserve">M+ scores + raid tracking</t>
  </si>
  <si>
    <t xml:space="preserve">Raider.IO LLC</t>
  </si>
  <si>
    <t xml:space="preserve">WoWProgress</t>
  </si>
  <si>
    <t xml:space="preserve">wowprogress.com</t>
  </si>
  <si>
    <t xml:space="preserve">Guild/character rankings</t>
  </si>
  <si>
    <t xml:space="preserve">Completionism</t>
  </si>
  <si>
    <t xml:space="preserve">completionism.com</t>
  </si>
  <si>
    <t xml:space="preserve">Completionist tracker</t>
  </si>
  <si>
    <t xml:space="preserve">Missing Mounts</t>
  </si>
  <si>
    <t xml:space="preserve">missingmounts.com</t>
  </si>
  <si>
    <t xml:space="preserve">Mount-specific tracker</t>
  </si>
  <si>
    <t xml:space="preserve">WoW-Professions</t>
  </si>
  <si>
    <t xml:space="preserve">wow-professions.com</t>
  </si>
  <si>
    <t xml:space="preserve">Profession leveling guides</t>
  </si>
  <si>
    <t xml:space="preserve">Icy Veins</t>
  </si>
  <si>
    <t xml:space="preserve">icy-veins.com</t>
  </si>
  <si>
    <t xml:space="preserve">Class + raid guides</t>
  </si>
  <si>
    <t xml:space="preserve">Gaming.tools</t>
  </si>
  <si>
    <t xml:space="preserve">gaming.tools/wow</t>
  </si>
  <si>
    <t xml:space="preserve">Multi-purpose WoW tools</t>
  </si>
  <si>
    <t xml:space="preserve">Wago.io</t>
  </si>
  <si>
    <t xml:space="preserve">wago.io</t>
  </si>
  <si>
    <t xml:space="preserve">WeakAuras + addon configs</t>
  </si>
  <si>
    <t xml:space="preserve">WowAuctions</t>
  </si>
  <si>
    <t xml:space="preserve">wowauctions.net</t>
  </si>
  <si>
    <t xml:space="preserve">AH market data (web)</t>
  </si>
  <si>
    <t xml:space="preserve">WowAuction.us</t>
  </si>
  <si>
    <t xml:space="preserve">wowauction.us</t>
  </si>
  <si>
    <t xml:space="preserve">AH market data (US realms)</t>
  </si>
  <si>
    <t xml:space="preserve">Undermine Exchange</t>
  </si>
  <si>
    <t xml:space="preserve">undermine.exchange</t>
  </si>
  <si>
    <t xml:space="preserve">AH price tracking + analytics</t>
  </si>
  <si>
    <t xml:space="preserve">WoWPriceHub</t>
  </si>
  <si>
    <t xml:space="preserve">wowpricehub.com</t>
  </si>
  <si>
    <t xml:space="preserve">AH pricing + market trends</t>
  </si>
  <si>
    <t xml:space="preserve">TradeSkillMaster</t>
  </si>
  <si>
    <t xml:space="preserve">tradeskillmaster.com</t>
  </si>
  <si>
    <t xml:space="preserve">AH addon + companion</t>
  </si>
  <si>
    <t xml:space="preserve">TSM Team</t>
  </si>
  <si>
    <t xml:space="preserve">Archon.gg</t>
  </si>
  <si>
    <t xml:space="preserve">archon.gg/wow</t>
  </si>
  <si>
    <t xml:space="preserve">Build/talent data analytics</t>
  </si>
  <si>
    <t xml:space="preserve">Archon</t>
  </si>
  <si>
    <t xml:space="preserve">Blizzard Companion App</t>
  </si>
  <si>
    <t xml:space="preserve">Official Blizzard</t>
  </si>
  <si>
    <t xml:space="preserve">Mission table + communities</t>
  </si>
  <si>
    <t xml:space="preserve">Blizzard</t>
  </si>
  <si>
    <t xml:space="preserve">AskMrRobot</t>
  </si>
  <si>
    <t xml:space="preserve">askmrrobot.com</t>
  </si>
  <si>
    <t xml:space="preserve">Gear optimization</t>
  </si>
  <si>
    <t xml:space="preserve">Zoopercat</t>
  </si>
  <si>
    <t xml:space="preserve">SimulationCraft</t>
  </si>
  <si>
    <t xml:space="preserve">simulationcraft.org</t>
  </si>
  <si>
    <t xml:space="preserve">DPS simulation engine</t>
  </si>
  <si>
    <t xml:space="preserve">Open source</t>
  </si>
  <si>
    <t xml:space="preserve">Raidbots</t>
  </si>
  <si>
    <t xml:space="preserve">raidbots.com</t>
  </si>
  <si>
    <t xml:space="preserve">SimC web frontend</t>
  </si>
  <si>
    <t xml:space="preserve">RTW.dev (TBC/legacy)</t>
  </si>
  <si>
    <t xml:space="preserve">tbc.rtw.dev</t>
  </si>
  <si>
    <t xml:space="preserve">Race-to-world-first tracking</t>
  </si>
  <si>
    <t xml:space="preserve">Wowpedia (legacy)</t>
  </si>
  <si>
    <t xml:space="preserve">wowpedia.fandom.com</t>
  </si>
  <si>
    <t xml:space="preserve">Old wiki (largely abandoned)</t>
  </si>
  <si>
    <t xml:space="preserve">Fandom</t>
  </si>
  <si>
    <t xml:space="preserve">Warcraft Wiki</t>
  </si>
  <si>
    <t xml:space="preserve">warcraft.wiki.gg</t>
  </si>
  <si>
    <t xml:space="preserve">Active community wiki (post-2023)</t>
  </si>
  <si>
    <t xml:space="preserve">Community</t>
  </si>
  <si>
    <t xml:space="preserve">MMO-Champion</t>
  </si>
  <si>
    <t xml:space="preserve">mmo-champion.com</t>
  </si>
  <si>
    <t xml:space="preserve">WoW news + datamining + forums</t>
  </si>
  <si>
    <t xml:space="preserve">Curse/Independent</t>
  </si>
  <si>
    <t xml:space="preserve">CurseForge</t>
  </si>
  <si>
    <t xml:space="preserve">curseforge.com/wow</t>
  </si>
  <si>
    <t xml:space="preserve">Addon distribution + download stats</t>
  </si>
  <si>
    <t xml:space="preserve">Overwolf</t>
  </si>
  <si>
    <t xml:space="preserve">Wago Addons</t>
  </si>
  <si>
    <t xml:space="preserve">addons.wago.io</t>
  </si>
  <si>
    <t xml:space="preserve">Addon distribution (alt to Curse)</t>
  </si>
  <si>
    <t xml:space="preserve">Wago</t>
  </si>
  <si>
    <t xml:space="preserve">WowUp</t>
  </si>
  <si>
    <t xml:space="preserve">wowup.io</t>
  </si>
  <si>
    <t xml:space="preserve">Cross-platform addon manager</t>
  </si>
  <si>
    <t xml:space="preserve">WoWCollectorTracker (US)</t>
  </si>
  <si>
    <t xml:space="preserve">TBD</t>
  </si>
  <si>
    <t xml:space="preserve">Mobile-first WoW super app + AI</t>
  </si>
  <si>
    <t xml:space="preserve">You</t>
  </si>
  <si>
    <t xml:space="preserve">Collections</t>
  </si>
  <si>
    <t xml:space="preserve">Progression</t>
  </si>
  <si>
    <t xml:space="preserve">Economy</t>
  </si>
  <si>
    <t xml:space="preserve">Profession &amp; Class</t>
  </si>
  <si>
    <t xml:space="preserve">Content/Database</t>
  </si>
  <si>
    <t xml:space="preserve">Social/Comparison</t>
  </si>
  <si>
    <t xml:space="preserve">Social Platform</t>
  </si>
  <si>
    <t xml:space="preserve">Addons</t>
  </si>
  <si>
    <t xml:space="preserve">Platform</t>
  </si>
  <si>
    <t xml:space="preserve">Modern Tech</t>
  </si>
  <si>
    <t xml:space="preserve">Mounts</t>
  </si>
  <si>
    <t xml:space="preserve">Pets</t>
  </si>
  <si>
    <t xml:space="preserve">Toys</t>
  </si>
  <si>
    <t xml:space="preserve">Transmog/Appearances</t>
  </si>
  <si>
    <t xml:space="preserve">Achievements</t>
  </si>
  <si>
    <t xml:space="preserve">Titles</t>
  </si>
  <si>
    <t xml:space="preserve">Reputations</t>
  </si>
  <si>
    <t xml:space="preserve">Currencies</t>
  </si>
  <si>
    <t xml:space="preserve">M+ Score Tracking</t>
  </si>
  <si>
    <t xml:space="preserve">Raid Progress</t>
  </si>
  <si>
    <t xml:space="preserve">Vault Tracking</t>
  </si>
  <si>
    <t xml:space="preserve">Weekly Lockouts</t>
  </si>
  <si>
    <t xml:space="preserve">Daily Quests</t>
  </si>
  <si>
    <t xml:space="preserve">AH Price History</t>
  </si>
  <si>
    <t xml:space="preserve">AH Snipe/Alerts</t>
  </si>
  <si>
    <t xml:space="preserve">Gold Making Insights</t>
  </si>
  <si>
    <t xml:space="preserve">Crafting Profit Calc</t>
  </si>
  <si>
    <t xml:space="preserve">Market Trends</t>
  </si>
  <si>
    <t xml:space="preserve">Profession Leveling Guides</t>
  </si>
  <si>
    <t xml:space="preserve">Recipe Lists</t>
  </si>
  <si>
    <t xml:space="preserve">Gear Optimization</t>
  </si>
  <si>
    <t xml:space="preserve">DPS Simulation</t>
  </si>
  <si>
    <t xml:space="preserve">Talent/Build Guides</t>
  </si>
  <si>
    <t xml:space="preserve">Stat Priorities</t>
  </si>
  <si>
    <t xml:space="preserve">Item Database</t>
  </si>
  <si>
    <t xml:space="preserve">Quest Database</t>
  </si>
  <si>
    <t xml:space="preserve">Spell Database</t>
  </si>
  <si>
    <t xml:space="preserve">Strategy Guides</t>
  </si>
  <si>
    <t xml:space="preserve">News/Patch Notes</t>
  </si>
  <si>
    <t xml:space="preserve">Account Rankings</t>
  </si>
  <si>
    <t xml:space="preserve">Global Leaderboards</t>
  </si>
  <si>
    <t xml:space="preserve">Guild Rosters</t>
  </si>
  <si>
    <t xml:space="preserve">Character Search</t>
  </si>
  <si>
    <t xml:space="preserve">Friend Tracking</t>
  </si>
  <si>
    <t xml:space="preserve">Activity Feed</t>
  </si>
  <si>
    <t xml:space="preserve">Profile Customization</t>
  </si>
  <si>
    <t xml:space="preserve">Follow/Friends Network</t>
  </si>
  <si>
    <t xml:space="preserve">Achievement Showcase</t>
  </si>
  <si>
    <t xml:space="preserve">Direct Messaging</t>
  </si>
  <si>
    <t xml:space="preserve">Addon Library Sync</t>
  </si>
  <si>
    <t xml:space="preserve">Addon Update Notifications</t>
  </si>
  <si>
    <t xml:space="preserve">Addon Recommendations</t>
  </si>
  <si>
    <t xml:space="preserve">Download Stats Tracking</t>
  </si>
  <si>
    <t xml:space="preserve">Web App</t>
  </si>
  <si>
    <t xml:space="preserve">iOS Native App</t>
  </si>
  <si>
    <t xml:space="preserve">Android Native App</t>
  </si>
  <si>
    <t xml:space="preserve">Apple Watch</t>
  </si>
  <si>
    <t xml:space="preserve">Desktop Addon</t>
  </si>
  <si>
    <t xml:space="preserve">Push Notifications</t>
  </si>
  <si>
    <t xml:space="preserve">Discord Bot</t>
  </si>
  <si>
    <t xml:space="preserve">AI Recommendations</t>
  </si>
  <si>
    <t xml:space="preserve">AI Chat/RAG</t>
  </si>
  <si>
    <t xml:space="preserve">Real-time Alerts</t>
  </si>
  <si>
    <t xml:space="preserve">Cross-Character Sync</t>
  </si>
  <si>
    <t xml:space="preserve">Voice Assistant Integration</t>
  </si>
  <si>
    <t xml:space="preserve">Unified Multi-Tool View</t>
  </si>
  <si>
    <t xml:space="preserve">Y count</t>
  </si>
  <si>
    <t xml:space="preserve">P count</t>
  </si>
  <si>
    <t xml:space="preserve">Coverage Score</t>
  </si>
  <si>
    <t xml:space="preserve">Total tools covering (Y+P)</t>
  </si>
  <si>
    <t xml:space="preserve">Public API</t>
  </si>
  <si>
    <t xml:space="preserve">Data Source</t>
  </si>
  <si>
    <t xml:space="preserve">Pricing Model</t>
  </si>
  <si>
    <t xml:space="preserve">Commercial Use Status</t>
  </si>
  <si>
    <t xml:space="preserve">None public</t>
  </si>
  <si>
    <t xml:space="preserve">Game data extraction + community</t>
  </si>
  <si>
    <t xml:space="preserve">Free + Premium</t>
  </si>
  <si>
    <t xml:space="preserve">Commercial OK</t>
  </si>
  <si>
    <t xml:space="preserve">Battle.net API</t>
  </si>
  <si>
    <t xml:space="preserve">Free</t>
  </si>
  <si>
    <t xml:space="preserve">Personal use</t>
  </si>
  <si>
    <t xml:space="preserve">Free + Donations</t>
  </si>
  <si>
    <t xml:space="preserve">Manual + scraped</t>
  </si>
  <si>
    <t xml:space="preserve">Free + Ads</t>
  </si>
  <si>
    <t xml:space="preserve">N/A</t>
  </si>
  <si>
    <t xml:space="preserve">Public REST API</t>
  </si>
  <si>
    <t xml:space="preserve">WCL + own pipeline + BNet</t>
  </si>
  <si>
    <t xml:space="preserve">Free + Subs</t>
  </si>
  <si>
    <t xml:space="preserve">Limited feeds</t>
  </si>
  <si>
    <t xml:space="preserve">Self-reported + scraping</t>
  </si>
  <si>
    <t xml:space="preserve">Limited</t>
  </si>
  <si>
    <t xml:space="preserve">None</t>
  </si>
  <si>
    <t xml:space="preserve">Hand-written content</t>
  </si>
  <si>
    <t xml:space="preserve">Hand-written + game data</t>
  </si>
  <si>
    <t xml:space="preserve">User-uploaded configs</t>
  </si>
  <si>
    <t xml:space="preserve">Free + Patreon</t>
  </si>
  <si>
    <t xml:space="preserve">Battle.net AH snapshots</t>
  </si>
  <si>
    <t xml:space="preserve">Legacy API key (private)</t>
  </si>
  <si>
    <t xml:space="preserve">Addon scrapes + BNet AH</t>
  </si>
  <si>
    <t xml:space="preserve">Restricted</t>
  </si>
  <si>
    <t xml:space="preserve">WCL + own pipeline</t>
  </si>
  <si>
    <t xml:space="preserve">Internal Blizzard API</t>
  </si>
  <si>
    <t xml:space="preserve">First-party</t>
  </si>
  <si>
    <t xml:space="preserve">Battle.net + own algorithms</t>
  </si>
  <si>
    <t xml:space="preserve">CLI binary</t>
  </si>
  <si>
    <t xml:space="preserve">Game data extraction</t>
  </si>
  <si>
    <t xml:space="preserve">Free / Open source</t>
  </si>
  <si>
    <t xml:space="preserve">Hosts SimC + Battle.net API</t>
  </si>
  <si>
    <t xml:space="preserve">OK</t>
  </si>
  <si>
    <t xml:space="preserve">WCL + manual</t>
  </si>
  <si>
    <t xml:space="preserve">MediaWiki API</t>
  </si>
  <si>
    <t xml:space="preserve">Old Fandom wiki (stale)</t>
  </si>
  <si>
    <t xml:space="preserve">Free (Fandom ads)</t>
  </si>
  <si>
    <t xml:space="preserve">Wiki / community</t>
  </si>
  <si>
    <t xml:space="preserve">Community-edited wiki (active)</t>
  </si>
  <si>
    <t xml:space="preserve">Free (donations)</t>
  </si>
  <si>
    <t xml:space="preserve">CC BY-SA OK</t>
  </si>
  <si>
    <t xml:space="preserve">RSS feeds</t>
  </si>
  <si>
    <t xml:space="preserve">Editorial + datamining + forums</t>
  </si>
  <si>
    <t xml:space="preserve">Addon metadata + downloads</t>
  </si>
  <si>
    <t xml:space="preserve">None (open source)</t>
  </si>
  <si>
    <t xml:space="preserve">Local addon scan + CurseForge/Wago</t>
  </si>
  <si>
    <t xml:space="preserve">Public REST + GraphQL</t>
  </si>
  <si>
    <t xml:space="preserve">BNet + TSM + Raider.IO + Wago + WCL + Warcraft Wiki + CurseForge</t>
  </si>
  <si>
    <t xml:space="preserve">Freemium + Ads + Subs</t>
  </si>
  <si>
    <t xml:space="preserve">Commercial (needs partnership)</t>
  </si>
  <si>
    <t xml:space="preserve">Retail</t>
  </si>
  <si>
    <t xml:space="preserve">Classic Era</t>
  </si>
  <si>
    <t xml:space="preserve">Season of Discovery</t>
  </si>
  <si>
    <t xml:space="preserve">Cataclysm Classic</t>
  </si>
  <si>
    <t xml:space="preserve">TBC Classic (legacy)</t>
  </si>
  <si>
    <t xml:space="preserve">WotLK Classic (legacy)</t>
  </si>
  <si>
    <t xml:space="preserve">Versions covered</t>
  </si>
  <si>
    <t xml:space="preserve">Model</t>
  </si>
  <si>
    <t xml:space="preserve">Free Tier</t>
  </si>
  <si>
    <t xml:space="preserve">Premium Price (USD)</t>
  </si>
  <si>
    <t xml:space="preserve">Premium Features</t>
  </si>
  <si>
    <t xml:space="preserve">Est. Audience</t>
  </si>
  <si>
    <t xml:space="preserve">Ads + Premium</t>
  </si>
  <si>
    <t xml:space="preserve">Full</t>
  </si>
  <si>
    <t xml:space="preserve">$2-7/mo</t>
  </si>
  <si>
    <t xml:space="preserve">Ad removal, comparison tools</t>
  </si>
  <si>
    <t xml:space="preserve">5M+ MAU</t>
  </si>
  <si>
    <t xml:space="preserve">100K+</t>
  </si>
  <si>
    <t xml:space="preserve">Donate</t>
  </si>
  <si>
    <t xml:space="preserve">200K+</t>
  </si>
  <si>
    <t xml:space="preserve">Ads</t>
  </si>
  <si>
    <t xml:space="preserve">50K+</t>
  </si>
  <si>
    <t xml:space="preserve">Freemium</t>
  </si>
  <si>
    <t xml:space="preserve">Limited stats</t>
  </si>
  <si>
    <t xml:space="preserve">$5-15/mo</t>
  </si>
  <si>
    <t xml:space="preserve">Detailed stats, no ads, badges</t>
  </si>
  <si>
    <t xml:space="preserve">1M+ MAU</t>
  </si>
  <si>
    <t xml:space="preserve">300K+</t>
  </si>
  <si>
    <t xml:space="preserve">30K+</t>
  </si>
  <si>
    <t xml:space="preserve">500K+</t>
  </si>
  <si>
    <t xml:space="preserve">$3-5/mo</t>
  </si>
  <si>
    <t xml:space="preserve">Ad removal</t>
  </si>
  <si>
    <t xml:space="preserve">2M+ MAU</t>
  </si>
  <si>
    <t xml:space="preserve">Patreon</t>
  </si>
  <si>
    <t xml:space="preserve">$1-5/mo</t>
  </si>
  <si>
    <t xml:space="preserve">Sync, no ads</t>
  </si>
  <si>
    <t xml:space="preserve">40K+</t>
  </si>
  <si>
    <t xml:space="preserve">20K+</t>
  </si>
  <si>
    <t xml:space="preserve">Addon free</t>
  </si>
  <si>
    <t xml:space="preserve">$10-15/mo</t>
  </si>
  <si>
    <t xml:space="preserve">App backups, detailed analytics</t>
  </si>
  <si>
    <t xml:space="preserve">$5-10/mo</t>
  </si>
  <si>
    <t xml:space="preserve">Detailed data, comparisons</t>
  </si>
  <si>
    <t xml:space="preserve">Free (Sub req'd)</t>
  </si>
  <si>
    <t xml:space="preserve">WoW sub</t>
  </si>
  <si>
    <t xml:space="preserve">1M+ DAU</t>
  </si>
  <si>
    <t xml:space="preserve">$5-12/mo</t>
  </si>
  <si>
    <t xml:space="preserve">Sims, gear strategy</t>
  </si>
  <si>
    <t xml:space="preserve">100K+ devs</t>
  </si>
  <si>
    <t xml:space="preserve">Basic sims</t>
  </si>
  <si>
    <t xml:space="preserve">$10-50/mo</t>
  </si>
  <si>
    <t xml:space="preserve">Top gear, advanced sims</t>
  </si>
  <si>
    <t xml:space="preserve">10K+</t>
  </si>
  <si>
    <t xml:space="preserve">Ads (Fandom)</t>
  </si>
  <si>
    <t xml:space="preserve">Declining</t>
  </si>
  <si>
    <t xml:space="preserve">Donations</t>
  </si>
  <si>
    <t xml:space="preserve">500K+ MAU (growing)</t>
  </si>
  <si>
    <t xml:space="preserve">500K+ MAU</t>
  </si>
  <si>
    <t xml:space="preserve">$3-7/mo</t>
  </si>
  <si>
    <t xml:space="preserve">Ad removal, exclusive features</t>
  </si>
  <si>
    <t xml:space="preserve">$3-10/mo</t>
  </si>
  <si>
    <t xml:space="preserve">Sync, no ads, exclusive features</t>
  </si>
  <si>
    <t xml:space="preserve">Freemium + Ads</t>
  </si>
  <si>
    <t xml:space="preserve">Tracking + ads</t>
  </si>
  <si>
    <t xml:space="preserve">$4.99-9.99/mo</t>
  </si>
  <si>
    <t xml:space="preserve">Push, AI, AH alerts, no ads, sync</t>
  </si>
  <si>
    <t xml:space="preserve">TBD (target 100K)</t>
  </si>
  <si>
    <t xml:space="preserve">Category</t>
  </si>
  <si>
    <t xml:space="preserve">Gap</t>
  </si>
  <si>
    <t xml:space="preserve">Why It's a Gap</t>
  </si>
  <si>
    <t xml:space="preserve">Who Owns It Today</t>
  </si>
  <si>
    <t xml:space="preserve">Our Opportunity</t>
  </si>
  <si>
    <t xml:space="preserve">Difficulty</t>
  </si>
  <si>
    <t xml:space="preserve">Priority</t>
  </si>
  <si>
    <t xml:space="preserve">Mobile</t>
  </si>
  <si>
    <t xml:space="preserve">Native iOS app for collection tracking</t>
  </si>
  <si>
    <t xml:space="preserve">Only Blizzard's app exists for iOS, and it doesn't track collections at all</t>
  </si>
  <si>
    <t xml:space="preserve">Nobody</t>
  </si>
  <si>
    <t xml:space="preserve">Build it native, with offline mode + push</t>
  </si>
  <si>
    <t xml:space="preserve">Med</t>
  </si>
  <si>
    <t xml:space="preserve">Native iOS app for AH/gold making</t>
  </si>
  <si>
    <t xml:space="preserve">TSM is desktop-only. WowAuctions/PriceHub/Undermine all web. Mobile gold-makers have nothing</t>
  </si>
  <si>
    <t xml:space="preserve">TSM-style alerts on iOS via push</t>
  </si>
  <si>
    <t xml:space="preserve">Apple Watch lockout/vault complications</t>
  </si>
  <si>
    <t xml:space="preserve">No tool surfaces weekly resets on the wrist</t>
  </si>
  <si>
    <t xml:space="preserve">Watch app + complications</t>
  </si>
  <si>
    <t xml:space="preserve">Low</t>
  </si>
  <si>
    <t xml:space="preserve">AI</t>
  </si>
  <si>
    <t xml:space="preserve">AI 'what should I do tonight' planner</t>
  </si>
  <si>
    <t xml:space="preserve">No tool synthesizes vault + collections + AH + lockouts into recs</t>
  </si>
  <si>
    <t xml:space="preserve">LLM-powered daily briefing</t>
  </si>
  <si>
    <t xml:space="preserve">AI gear recommendations from natural language</t>
  </si>
  <si>
    <t xml:space="preserve">Raidbots/AMR require manual setup. Ask 'is this upgrade?' -&gt; instant</t>
  </si>
  <si>
    <t xml:space="preserve">NL interface over SimC + Archon data</t>
  </si>
  <si>
    <t xml:space="preserve">High</t>
  </si>
  <si>
    <t xml:space="preserve">AI-generated profession routes per character</t>
  </si>
  <si>
    <t xml:space="preserve">Static guides exist but don't account for your realm's mob density</t>
  </si>
  <si>
    <t xml:space="preserve">Personalized real-time routes</t>
  </si>
  <si>
    <t xml:space="preserve">Notifications</t>
  </si>
  <si>
    <t xml:space="preserve">Push: rare spawn timer alerts</t>
  </si>
  <si>
    <t xml:space="preserve">Discord bots do this, no consumer app does</t>
  </si>
  <si>
    <t xml:space="preserve">Discord communities</t>
  </si>
  <si>
    <t xml:space="preserve">First-party push notifications</t>
  </si>
  <si>
    <t xml:space="preserve">Push: AH undercut alerts</t>
  </si>
  <si>
    <t xml:space="preserve">TSM does this in-game only, not when you're away</t>
  </si>
  <si>
    <t xml:space="preserve">Nobody (away from PC)</t>
  </si>
  <si>
    <t xml:space="preserve">Backend polling + push</t>
  </si>
  <si>
    <t xml:space="preserve">Push: weekly reset reminder w/ unfinished</t>
  </si>
  <si>
    <t xml:space="preserve">No tool reminds you what you didn't finish</t>
  </si>
  <si>
    <t xml:space="preserve">Smart reminder w/ specifics</t>
  </si>
  <si>
    <t xml:space="preserve">Aggregation</t>
  </si>
  <si>
    <t xml:space="preserve">Single dashboard across BNet+TSM+Raider+Wago</t>
  </si>
  <si>
    <t xml:space="preserve">Each tool is siloed. Power users open 6+ tabs</t>
  </si>
  <si>
    <t xml:space="preserve">Unified player view</t>
  </si>
  <si>
    <t xml:space="preserve">Cross-character account-wide collection view</t>
  </si>
  <si>
    <t xml:space="preserve">DFA does this on web, no mobile equivalent</t>
  </si>
  <si>
    <t xml:space="preserve">Data for Azeroth (web only)</t>
  </si>
  <si>
    <t xml:space="preserve">Native mobile rollup</t>
  </si>
  <si>
    <t xml:space="preserve">Sims + collection + AH in one view</t>
  </si>
  <si>
    <t xml:space="preserve">Raidbots + AMR + Simple Armory + TSM = 4 different sites</t>
  </si>
  <si>
    <t xml:space="preserve">Tabbed unified character page</t>
  </si>
  <si>
    <t xml:space="preserve">Coverage</t>
  </si>
  <si>
    <t xml:space="preserve">Classic Era / SoD collection tracking</t>
  </si>
  <si>
    <t xml:space="preserve">Most collection tools focus on Retail only</t>
  </si>
  <si>
    <t xml:space="preserve">Limited (Wowhead, WoWProgress)</t>
  </si>
  <si>
    <t xml:space="preserve">Cover all versions w/ shared UX</t>
  </si>
  <si>
    <t xml:space="preserve">Cataclysm Classic AH analytics</t>
  </si>
  <si>
    <t xml:space="preserve">TSM partial. Other AH sites Retail-focused.</t>
  </si>
  <si>
    <t xml:space="preserve">TSM partial</t>
  </si>
  <si>
    <t xml:space="preserve">Cata-aware AH dashboards</t>
  </si>
  <si>
    <t xml:space="preserve">Multi-version unified character view</t>
  </si>
  <si>
    <t xml:space="preserve">No tool shows your Retail + Classic chars in one place</t>
  </si>
  <si>
    <t xml:space="preserve">Single login -&gt; all your toons</t>
  </si>
  <si>
    <t xml:space="preserve">Social</t>
  </si>
  <si>
    <t xml:space="preserve">In-app friend collection comparison</t>
  </si>
  <si>
    <t xml:space="preserve">DFA does it on web, awkward UX</t>
  </si>
  <si>
    <t xml:space="preserve">Tinder-style swipe to compare</t>
  </si>
  <si>
    <t xml:space="preserve">Guild collection challenges/leaderboards</t>
  </si>
  <si>
    <t xml:space="preserve">No tool gamifies guild-internal collection competition</t>
  </si>
  <si>
    <t xml:space="preserve">Built-in guild leaderboards + bets</t>
  </si>
  <si>
    <t xml:space="preserve">Voice</t>
  </si>
  <si>
    <t xml:space="preserve">Siri shortcuts + voice query</t>
  </si>
  <si>
    <t xml:space="preserve">No WoW tool has Siri integration</t>
  </si>
  <si>
    <t xml:space="preserve">'Hey Siri, what's my vault?'</t>
  </si>
  <si>
    <t xml:space="preserve">Content</t>
  </si>
  <si>
    <t xml:space="preserve">AI-generated profession leveling per realm</t>
  </si>
  <si>
    <t xml:space="preserve">Wow-Professions content is static, doesn't know your realm's prices</t>
  </si>
  <si>
    <t xml:space="preserve">Wow-Professions (static)</t>
  </si>
  <si>
    <t xml:space="preserve">Live, personalized leveling guides</t>
  </si>
  <si>
    <t xml:space="preserve">Strategy guides synthesized from WCL data</t>
  </si>
  <si>
    <t xml:space="preserve">Icy Veins is editorial. Could auto-generate from log data.</t>
  </si>
  <si>
    <t xml:space="preserve">Icy Veins (editorial)</t>
  </si>
  <si>
    <t xml:space="preserve">Auto-generated from fight data</t>
  </si>
  <si>
    <t xml:space="preserve">Mobile crafting profitability calculator</t>
  </si>
  <si>
    <t xml:space="preserve">TSM has it desktop. Mobile users are blind.</t>
  </si>
  <si>
    <t xml:space="preserve">Mobile-first calc with live prices</t>
  </si>
  <si>
    <t xml:space="preserve">Cross-realm AH arbitrage detection</t>
  </si>
  <si>
    <t xml:space="preserve">No tool surfaces arbitrage opportunities across connected realms</t>
  </si>
  <si>
    <t xml:space="preserve">Auto-flag price gaps</t>
  </si>
  <si>
    <t xml:space="preserve">Unified news feed (Wowhead+MMO-C+Reddit+X)</t>
  </si>
  <si>
    <t xml:space="preserve">No app aggregates WoW news from all sources into one feed + push</t>
  </si>
  <si>
    <t xml:space="preserve">Nobody (users tab-juggle)</t>
  </si>
  <si>
    <t xml:space="preserve">AI-summarized news feed w/ alerts</t>
  </si>
  <si>
    <t xml:space="preserve">Wiki/lore context inside character views</t>
  </si>
  <si>
    <t xml:space="preserve">Wowpedia lore is great but isolated from your character/quest progress</t>
  </si>
  <si>
    <t xml:space="preserve">Surface lore inline with quests/zones</t>
  </si>
  <si>
    <t xml:space="preserve">AH category is crowded but all web-only</t>
  </si>
  <si>
    <t xml:space="preserve">5+ tools (TSM, WowAuctions, WowAuction.us, Undermine, PriceHub) all web</t>
  </si>
  <si>
    <t xml:space="preserve">All web tools</t>
  </si>
  <si>
    <t xml:space="preserve">First mobile-native AH w/ push</t>
  </si>
  <si>
    <t xml:space="preserve">Modern social network for WoW players</t>
  </si>
  <si>
    <t xml:space="preserve">WoWProgress feels 2008. Raider.IO is dungeons-only. No 'Strava for WoW' exists</t>
  </si>
  <si>
    <t xml:space="preserve">Activity feeds, follows, profile showcases</t>
  </si>
  <si>
    <t xml:space="preserve">Customizable showcase profiles</t>
  </si>
  <si>
    <t xml:space="preserve">Battle.net profile is barebones. No mount/transmog/achievement showcase</t>
  </si>
  <si>
    <t xml:space="preserve">Curated profile pages w/ themes</t>
  </si>
  <si>
    <t xml:space="preserve">Activity feed (Strava-style)</t>
  </si>
  <si>
    <t xml:space="preserve">No tool surfaces 'what your friends/guild did' as an auto-feed</t>
  </si>
  <si>
    <t xml:space="preserve">Auto-post mount drops, AOTC, M+ runs</t>
  </si>
  <si>
    <t xml:space="preserve">Follow non-friend players</t>
  </si>
  <si>
    <t xml:space="preserve">Battle.net only has friends. Can't follow top raiders/streamers</t>
  </si>
  <si>
    <t xml:space="preserve">Asymmetric follow graph</t>
  </si>
  <si>
    <t xml:space="preserve">In-app messaging across realms/factions</t>
  </si>
  <si>
    <t xml:space="preserve">WoW chat is realm/faction-locked. Discord is the workaround</t>
  </si>
  <si>
    <t xml:space="preserve">Discord (external)</t>
  </si>
  <si>
    <t xml:space="preserve">First-party DMs/group chats</t>
  </si>
  <si>
    <t xml:space="preserve">Unified addon manager + sync</t>
  </si>
  <si>
    <t xml:space="preserve">CurseForge, Wago Addons, WowUp all separate. No mobile addon mgmt</t>
  </si>
  <si>
    <t xml:space="preserve">WowUp (desktop only)</t>
  </si>
  <si>
    <t xml:space="preserve">Mobile/web addon mgmt + push for updates</t>
  </si>
  <si>
    <t xml:space="preserve">Addon recommendations based on your playstyle</t>
  </si>
  <si>
    <t xml:space="preserve">No tool says 'you'd benefit from X addon based on what you play'</t>
  </si>
  <si>
    <t xml:space="preserve">AI-powered addon recs</t>
  </si>
  <si>
    <t xml:space="preserve">Track addon download/popularity trends</t>
  </si>
  <si>
    <t xml:space="preserve">CurseForge has stats but doesn't surface 'rising' addons to users</t>
  </si>
  <si>
    <t xml:space="preserve">Partial (CurseForge)</t>
  </si>
  <si>
    <t xml:space="preserve">Trending addons + adoption analytics</t>
  </si>
  <si>
    <t xml:space="preserve">In-game AI Q&amp;A via addon + desktop bridge</t>
  </si>
  <si>
    <t xml:space="preserve">No 'ask the AI in-game' tool exists. Addons can't HTTP, need desktop relay</t>
  </si>
  <si>
    <t xml:space="preserve">TSM-pattern addon + desktop + RAG backend</t>
  </si>
  <si>
    <t xml:space="preserve">Discord bot for WoW Q&amp;A (RAG over wiki+data)</t>
  </si>
  <si>
    <t xml:space="preserve">No major Discord bot answers character-aware WoW questions</t>
  </si>
  <si>
    <t xml:space="preserve">A few small Discord bots</t>
  </si>
  <si>
    <t xml:space="preserve">First-class Discord bot w/ RAG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</si>
</sst>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4E78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4"/>
      <color rgb="FF1F4E78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1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C6EFCE"/>
        <bgColor rgb="FFDDEBF7"/>
      </patternFill>
    </fill>
    <fill>
      <patternFill patternType="solid">
        <fgColor rgb="FFFFEB9C"/>
        <bgColor rgb="FFFFF2CC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DDEB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2"/>
    <col collapsed="false" customWidth="true" hidden="false" outlineLevel="0" max="6" min="3" style="0" width="18"/>
  </cols>
  <sheetData>
    <row r="1" customFormat="false" ht="22.0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7.3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n">
        <f aca="false">COUNTA('1. Tool Overview'!B2:B100)-1</f>
        <v>29</v>
      </c>
    </row>
    <row r="6" customFormat="false" ht="15" hidden="false" customHeight="false" outlineLevel="0" collapsed="false">
      <c r="A6" s="4" t="s">
        <v>4</v>
      </c>
      <c r="B6" s="5" t="s">
        <v>5</v>
      </c>
    </row>
    <row r="7" customFormat="false" ht="15" hidden="false" customHeight="false" outlineLevel="0" collapsed="false">
      <c r="A7" s="4" t="s">
        <v>6</v>
      </c>
      <c r="B7" s="5" t="s">
        <v>7</v>
      </c>
    </row>
    <row r="8" customFormat="false" ht="15" hidden="false" customHeight="false" outlineLevel="0" collapsed="false">
      <c r="A8" s="4" t="s">
        <v>8</v>
      </c>
      <c r="B8" s="5" t="n">
        <f aca="false">COUNTA('6. Gaps &amp; Opportunities'!A2:A100)</f>
        <v>35</v>
      </c>
    </row>
    <row r="9" customFormat="false" ht="15" hidden="false" customHeight="false" outlineLevel="0" collapsed="false">
      <c r="A9" s="4" t="s">
        <v>9</v>
      </c>
      <c r="B9" s="5" t="n">
        <f aca="false">COUNTIF('6. Gaps &amp; Opportunities'!G:G,"P0")</f>
        <v>14</v>
      </c>
    </row>
    <row r="10" customFormat="false" ht="15" hidden="false" customHeight="false" outlineLevel="0" collapsed="false">
      <c r="A10" s="4" t="s">
        <v>10</v>
      </c>
      <c r="B10" s="5" t="n">
        <f aca="false">COUNTIF('6. Gaps &amp; Opportunities'!G:G,"P1")</f>
        <v>10</v>
      </c>
    </row>
    <row r="11" customFormat="false" ht="15" hidden="false" customHeight="false" outlineLevel="0" collapsed="false">
      <c r="A11" s="4" t="s">
        <v>11</v>
      </c>
      <c r="B11" s="5" t="n">
        <f aca="false">COUNTIF('6. Gaps &amp; Opportunities'!G:G,"P2")</f>
        <v>11</v>
      </c>
    </row>
    <row r="13" customFormat="false" ht="17.35" hidden="false" customHeight="false" outlineLevel="0" collapsed="false">
      <c r="A13" s="3" t="s">
        <v>12</v>
      </c>
    </row>
    <row r="14" customFormat="false" ht="31.5" hidden="false" customHeight="true" outlineLevel="0" collapsed="false">
      <c r="A14" s="6" t="s">
        <v>13</v>
      </c>
      <c r="B14" s="6"/>
      <c r="C14" s="6"/>
      <c r="D14" s="6"/>
      <c r="E14" s="6"/>
      <c r="F14" s="6"/>
    </row>
    <row r="15" customFormat="false" ht="31.5" hidden="false" customHeight="true" outlineLevel="0" collapsed="false">
      <c r="A15" s="6" t="s">
        <v>14</v>
      </c>
      <c r="B15" s="6"/>
      <c r="C15" s="6"/>
      <c r="D15" s="6"/>
      <c r="E15" s="6"/>
      <c r="F15" s="6"/>
    </row>
    <row r="16" customFormat="false" ht="31.5" hidden="false" customHeight="true" outlineLevel="0" collapsed="false">
      <c r="A16" s="6" t="s">
        <v>15</v>
      </c>
      <c r="B16" s="6"/>
      <c r="C16" s="6"/>
      <c r="D16" s="6"/>
      <c r="E16" s="6"/>
      <c r="F16" s="6"/>
    </row>
    <row r="17" customFormat="false" ht="31.5" hidden="false" customHeight="true" outlineLevel="0" collapsed="false">
      <c r="A17" s="6" t="s">
        <v>16</v>
      </c>
      <c r="B17" s="6"/>
      <c r="C17" s="6"/>
      <c r="D17" s="6"/>
      <c r="E17" s="6"/>
      <c r="F17" s="6"/>
    </row>
    <row r="18" customFormat="false" ht="31.5" hidden="false" customHeight="true" outlineLevel="0" collapsed="false">
      <c r="A18" s="6" t="s">
        <v>17</v>
      </c>
      <c r="B18" s="6"/>
      <c r="C18" s="6"/>
      <c r="D18" s="6"/>
      <c r="E18" s="6"/>
      <c r="F18" s="6"/>
    </row>
    <row r="19" customFormat="false" ht="31.5" hidden="false" customHeight="true" outlineLevel="0" collapsed="false">
      <c r="A19" s="6" t="s">
        <v>18</v>
      </c>
      <c r="B19" s="6"/>
      <c r="C19" s="6"/>
      <c r="D19" s="6"/>
      <c r="E19" s="6"/>
      <c r="F19" s="6"/>
    </row>
    <row r="20" customFormat="false" ht="31.5" hidden="false" customHeight="true" outlineLevel="0" collapsed="false">
      <c r="A20" s="6" t="s">
        <v>19</v>
      </c>
      <c r="B20" s="6"/>
      <c r="C20" s="6"/>
      <c r="D20" s="6"/>
      <c r="E20" s="6"/>
      <c r="F20" s="6"/>
    </row>
    <row r="21" customFormat="false" ht="31.5" hidden="false" customHeight="true" outlineLevel="0" collapsed="false">
      <c r="A21" s="6" t="s">
        <v>20</v>
      </c>
      <c r="B21" s="6"/>
      <c r="C21" s="6"/>
      <c r="D21" s="6"/>
      <c r="E21" s="6"/>
      <c r="F21" s="6"/>
    </row>
    <row r="22" customFormat="false" ht="31.5" hidden="false" customHeight="true" outlineLevel="0" collapsed="false">
      <c r="A22" s="6" t="s">
        <v>21</v>
      </c>
      <c r="B22" s="6"/>
      <c r="C22" s="6"/>
      <c r="D22" s="6"/>
      <c r="E22" s="6"/>
      <c r="F22" s="6"/>
    </row>
    <row r="23" customFormat="false" ht="31.5" hidden="false" customHeight="true" outlineLevel="0" collapsed="false">
      <c r="A23" s="6" t="s">
        <v>22</v>
      </c>
      <c r="B23" s="6"/>
      <c r="C23" s="6"/>
      <c r="D23" s="6"/>
      <c r="E23" s="6"/>
      <c r="F23" s="6"/>
    </row>
    <row r="24" customFormat="false" ht="31.5" hidden="false" customHeight="true" outlineLevel="0" collapsed="false">
      <c r="A24" s="6" t="s">
        <v>23</v>
      </c>
      <c r="B24" s="6"/>
      <c r="C24" s="6"/>
      <c r="D24" s="6"/>
      <c r="E24" s="6"/>
      <c r="F24" s="6"/>
    </row>
    <row r="25" customFormat="false" ht="31.5" hidden="false" customHeight="true" outlineLevel="0" collapsed="false">
      <c r="A25" s="6" t="s">
        <v>24</v>
      </c>
      <c r="B25" s="6"/>
      <c r="C25" s="6"/>
      <c r="D25" s="6"/>
      <c r="E25" s="6"/>
      <c r="F25" s="6"/>
    </row>
    <row r="26" customFormat="false" ht="31.5" hidden="false" customHeight="true" outlineLevel="0" collapsed="false">
      <c r="A26" s="6" t="s">
        <v>25</v>
      </c>
      <c r="B26" s="6"/>
      <c r="C26" s="6"/>
      <c r="D26" s="6"/>
      <c r="E26" s="6"/>
      <c r="F26" s="6"/>
    </row>
    <row r="28" customFormat="false" ht="17.35" hidden="false" customHeight="false" outlineLevel="0" collapsed="false">
      <c r="A28" s="3" t="s">
        <v>26</v>
      </c>
    </row>
    <row r="29" customFormat="false" ht="31.5" hidden="false" customHeight="true" outlineLevel="0" collapsed="false">
      <c r="A29" s="7" t="s">
        <v>27</v>
      </c>
      <c r="B29" s="8" t="s">
        <v>28</v>
      </c>
      <c r="C29" s="8"/>
      <c r="D29" s="8"/>
      <c r="E29" s="8"/>
      <c r="F29" s="8"/>
    </row>
    <row r="30" customFormat="false" ht="31.5" hidden="false" customHeight="true" outlineLevel="0" collapsed="false">
      <c r="A30" s="7" t="s">
        <v>29</v>
      </c>
      <c r="B30" s="8" t="s">
        <v>30</v>
      </c>
      <c r="C30" s="8"/>
      <c r="D30" s="8"/>
      <c r="E30" s="8"/>
      <c r="F30" s="8"/>
    </row>
    <row r="31" customFormat="false" ht="31.5" hidden="false" customHeight="true" outlineLevel="0" collapsed="false">
      <c r="A31" s="7" t="s">
        <v>31</v>
      </c>
      <c r="B31" s="8" t="s">
        <v>32</v>
      </c>
      <c r="C31" s="8"/>
      <c r="D31" s="8"/>
      <c r="E31" s="8"/>
      <c r="F31" s="8"/>
    </row>
    <row r="32" customFormat="false" ht="31.5" hidden="false" customHeight="true" outlineLevel="0" collapsed="false">
      <c r="A32" s="7" t="s">
        <v>33</v>
      </c>
      <c r="B32" s="8" t="s">
        <v>34</v>
      </c>
      <c r="C32" s="8"/>
      <c r="D32" s="8"/>
      <c r="E32" s="8"/>
      <c r="F32" s="8"/>
    </row>
    <row r="33" customFormat="false" ht="31.5" hidden="false" customHeight="true" outlineLevel="0" collapsed="false">
      <c r="A33" s="7" t="s">
        <v>35</v>
      </c>
      <c r="B33" s="8" t="s">
        <v>36</v>
      </c>
      <c r="C33" s="8"/>
      <c r="D33" s="8"/>
      <c r="E33" s="8"/>
      <c r="F33" s="8"/>
    </row>
    <row r="36" customFormat="false" ht="15" hidden="false" customHeight="false" outlineLevel="0" collapsed="false">
      <c r="A36" s="9" t="s">
        <v>37</v>
      </c>
    </row>
    <row r="37" customFormat="false" ht="15" hidden="false" customHeight="true" outlineLevel="0" collapsed="false">
      <c r="A37" s="10" t="s">
        <v>38</v>
      </c>
      <c r="B37" s="11" t="s">
        <v>39</v>
      </c>
      <c r="C37" s="11"/>
      <c r="D37" s="11"/>
      <c r="E37" s="11"/>
      <c r="F37" s="11"/>
    </row>
    <row r="38" customFormat="false" ht="15" hidden="false" customHeight="true" outlineLevel="0" collapsed="false">
      <c r="A38" s="12" t="s">
        <v>40</v>
      </c>
      <c r="B38" s="11" t="s">
        <v>41</v>
      </c>
      <c r="C38" s="11"/>
      <c r="D38" s="11"/>
      <c r="E38" s="11"/>
      <c r="F38" s="11"/>
    </row>
    <row r="39" customFormat="false" ht="15" hidden="false" customHeight="true" outlineLevel="0" collapsed="false">
      <c r="A39" s="13" t="s">
        <v>42</v>
      </c>
      <c r="B39" s="11" t="s">
        <v>43</v>
      </c>
      <c r="C39" s="11"/>
      <c r="D39" s="11"/>
      <c r="E39" s="11"/>
      <c r="F39" s="11"/>
    </row>
    <row r="40" customFormat="false" ht="15" hidden="false" customHeight="true" outlineLevel="0" collapsed="false">
      <c r="A40" s="10" t="s">
        <v>44</v>
      </c>
      <c r="B40" s="11" t="s">
        <v>45</v>
      </c>
      <c r="C40" s="11"/>
      <c r="D40" s="11"/>
      <c r="E40" s="11"/>
      <c r="F40" s="11"/>
    </row>
    <row r="41" customFormat="false" ht="15" hidden="false" customHeight="true" outlineLevel="0" collapsed="false">
      <c r="A41" s="12" t="s">
        <v>46</v>
      </c>
      <c r="B41" s="11" t="s">
        <v>47</v>
      </c>
      <c r="C41" s="11"/>
      <c r="D41" s="11"/>
      <c r="E41" s="11"/>
      <c r="F41" s="11"/>
    </row>
    <row r="42" customFormat="false" ht="15" hidden="false" customHeight="true" outlineLevel="0" collapsed="false">
      <c r="A42" s="14" t="s">
        <v>48</v>
      </c>
      <c r="B42" s="11" t="s">
        <v>49</v>
      </c>
      <c r="C42" s="11"/>
      <c r="D42" s="11"/>
      <c r="E42" s="11"/>
      <c r="F42" s="11"/>
    </row>
    <row r="43" customFormat="false" ht="15" hidden="false" customHeight="true" outlineLevel="0" collapsed="false">
      <c r="A43" s="15" t="s">
        <v>50</v>
      </c>
      <c r="B43" s="11" t="s">
        <v>51</v>
      </c>
      <c r="C43" s="11"/>
      <c r="D43" s="11"/>
      <c r="E43" s="11"/>
      <c r="F43" s="11"/>
    </row>
  </sheetData>
  <mergeCells count="27">
    <mergeCell ref="A1:F1"/>
    <mergeCell ref="A2:F2"/>
    <mergeCell ref="A14:F14"/>
    <mergeCell ref="A15:F15"/>
    <mergeCell ref="A16:F16"/>
    <mergeCell ref="A17:F17"/>
    <mergeCell ref="A18:F18"/>
    <mergeCell ref="A19:F19"/>
    <mergeCell ref="A20:F20"/>
    <mergeCell ref="A21:F21"/>
    <mergeCell ref="A22:F22"/>
    <mergeCell ref="A23:F23"/>
    <mergeCell ref="A24:F24"/>
    <mergeCell ref="A25:F25"/>
    <mergeCell ref="A26:F26"/>
    <mergeCell ref="B29:F29"/>
    <mergeCell ref="B30:F30"/>
    <mergeCell ref="B31:F31"/>
    <mergeCell ref="B32:F32"/>
    <mergeCell ref="B33:F33"/>
    <mergeCell ref="B37:F37"/>
    <mergeCell ref="B38:F38"/>
    <mergeCell ref="B39:F39"/>
    <mergeCell ref="B40:F40"/>
    <mergeCell ref="B41:F41"/>
    <mergeCell ref="B42:F42"/>
    <mergeCell ref="B43:F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28"/>
    <col collapsed="false" customWidth="true" hidden="false" outlineLevel="0" max="4" min="4" style="0" width="38"/>
    <col collapsed="false" customWidth="true" hidden="false" outlineLevel="0" max="5" min="5" style="0" width="22"/>
    <col collapsed="false" customWidth="true" hidden="false" outlineLevel="0" max="6" min="6" style="0" width="14"/>
  </cols>
  <sheetData>
    <row r="1" customFormat="false" ht="27.75" hidden="false" customHeight="true" outlineLevel="0" collapsed="false">
      <c r="A1" s="16" t="s">
        <v>52</v>
      </c>
      <c r="B1" s="16" t="s">
        <v>53</v>
      </c>
      <c r="C1" s="16" t="s">
        <v>54</v>
      </c>
      <c r="D1" s="16" t="s">
        <v>55</v>
      </c>
      <c r="E1" s="16" t="s">
        <v>56</v>
      </c>
      <c r="F1" s="16" t="s">
        <v>57</v>
      </c>
    </row>
    <row r="2" customFormat="false" ht="15" hidden="false" customHeight="false" outlineLevel="0" collapsed="false">
      <c r="A2" s="17" t="n">
        <v>1</v>
      </c>
      <c r="B2" s="17" t="s">
        <v>58</v>
      </c>
      <c r="C2" s="17" t="s">
        <v>59</v>
      </c>
      <c r="D2" s="17" t="s">
        <v>60</v>
      </c>
      <c r="E2" s="17" t="s">
        <v>61</v>
      </c>
      <c r="F2" s="17" t="n">
        <v>2005</v>
      </c>
    </row>
    <row r="3" customFormat="false" ht="15" hidden="false" customHeight="false" outlineLevel="0" collapsed="false">
      <c r="A3" s="17" t="n">
        <v>2</v>
      </c>
      <c r="B3" s="17" t="s">
        <v>62</v>
      </c>
      <c r="C3" s="17" t="s">
        <v>63</v>
      </c>
      <c r="D3" s="17" t="s">
        <v>64</v>
      </c>
      <c r="E3" s="17" t="s">
        <v>65</v>
      </c>
      <c r="F3" s="17" t="n">
        <v>2014</v>
      </c>
    </row>
    <row r="4" customFormat="false" ht="15" hidden="false" customHeight="false" outlineLevel="0" collapsed="false">
      <c r="A4" s="17" t="n">
        <v>3</v>
      </c>
      <c r="B4" s="17" t="s">
        <v>66</v>
      </c>
      <c r="C4" s="17" t="s">
        <v>67</v>
      </c>
      <c r="D4" s="17" t="s">
        <v>68</v>
      </c>
      <c r="E4" s="17" t="s">
        <v>65</v>
      </c>
      <c r="F4" s="17" t="n">
        <v>2020</v>
      </c>
    </row>
    <row r="5" customFormat="false" ht="15" hidden="false" customHeight="false" outlineLevel="0" collapsed="false">
      <c r="A5" s="17" t="n">
        <v>4</v>
      </c>
      <c r="B5" s="17" t="s">
        <v>69</v>
      </c>
      <c r="C5" s="17" t="s">
        <v>70</v>
      </c>
      <c r="D5" s="17" t="s">
        <v>71</v>
      </c>
      <c r="E5" s="17" t="s">
        <v>65</v>
      </c>
      <c r="F5" s="17" t="n">
        <v>2010</v>
      </c>
    </row>
    <row r="6" customFormat="false" ht="15" hidden="false" customHeight="false" outlineLevel="0" collapsed="false">
      <c r="A6" s="17" t="n">
        <v>5</v>
      </c>
      <c r="B6" s="17" t="s">
        <v>72</v>
      </c>
      <c r="C6" s="17" t="s">
        <v>73</v>
      </c>
      <c r="D6" s="17" t="s">
        <v>74</v>
      </c>
      <c r="E6" s="17" t="s">
        <v>75</v>
      </c>
      <c r="F6" s="17" t="n">
        <v>2017</v>
      </c>
    </row>
    <row r="7" customFormat="false" ht="15" hidden="false" customHeight="false" outlineLevel="0" collapsed="false">
      <c r="A7" s="17" t="n">
        <v>6</v>
      </c>
      <c r="B7" s="17" t="s">
        <v>76</v>
      </c>
      <c r="C7" s="17" t="s">
        <v>77</v>
      </c>
      <c r="D7" s="17" t="s">
        <v>78</v>
      </c>
      <c r="E7" s="17" t="s">
        <v>65</v>
      </c>
      <c r="F7" s="17" t="n">
        <v>2008</v>
      </c>
    </row>
    <row r="8" customFormat="false" ht="15" hidden="false" customHeight="false" outlineLevel="0" collapsed="false">
      <c r="A8" s="17" t="n">
        <v>7</v>
      </c>
      <c r="B8" s="17" t="s">
        <v>79</v>
      </c>
      <c r="C8" s="17" t="s">
        <v>80</v>
      </c>
      <c r="D8" s="17" t="s">
        <v>81</v>
      </c>
      <c r="E8" s="17" t="s">
        <v>65</v>
      </c>
      <c r="F8" s="17" t="n">
        <v>2018</v>
      </c>
    </row>
    <row r="9" customFormat="false" ht="15" hidden="false" customHeight="false" outlineLevel="0" collapsed="false">
      <c r="A9" s="17" t="n">
        <v>8</v>
      </c>
      <c r="B9" s="17" t="s">
        <v>82</v>
      </c>
      <c r="C9" s="17" t="s">
        <v>83</v>
      </c>
      <c r="D9" s="17" t="s">
        <v>84</v>
      </c>
      <c r="E9" s="17" t="s">
        <v>65</v>
      </c>
      <c r="F9" s="17" t="n">
        <v>2017</v>
      </c>
    </row>
    <row r="10" customFormat="false" ht="15" hidden="false" customHeight="false" outlineLevel="0" collapsed="false">
      <c r="A10" s="17" t="n">
        <v>9</v>
      </c>
      <c r="B10" s="17" t="s">
        <v>85</v>
      </c>
      <c r="C10" s="17" t="s">
        <v>86</v>
      </c>
      <c r="D10" s="17" t="s">
        <v>87</v>
      </c>
      <c r="E10" s="17" t="s">
        <v>65</v>
      </c>
      <c r="F10" s="17" t="n">
        <v>2014</v>
      </c>
    </row>
    <row r="11" customFormat="false" ht="15" hidden="false" customHeight="false" outlineLevel="0" collapsed="false">
      <c r="A11" s="17" t="n">
        <v>10</v>
      </c>
      <c r="B11" s="17" t="s">
        <v>88</v>
      </c>
      <c r="C11" s="17" t="s">
        <v>89</v>
      </c>
      <c r="D11" s="17" t="s">
        <v>90</v>
      </c>
      <c r="E11" s="17" t="s">
        <v>65</v>
      </c>
      <c r="F11" s="17" t="n">
        <v>2011</v>
      </c>
    </row>
    <row r="12" customFormat="false" ht="15" hidden="false" customHeight="false" outlineLevel="0" collapsed="false">
      <c r="A12" s="17" t="n">
        <v>11</v>
      </c>
      <c r="B12" s="17" t="s">
        <v>91</v>
      </c>
      <c r="C12" s="17" t="s">
        <v>92</v>
      </c>
      <c r="D12" s="17" t="s">
        <v>93</v>
      </c>
      <c r="E12" s="17" t="s">
        <v>65</v>
      </c>
      <c r="F12" s="17" t="n">
        <v>2020</v>
      </c>
    </row>
    <row r="13" customFormat="false" ht="15" hidden="false" customHeight="false" outlineLevel="0" collapsed="false">
      <c r="A13" s="17" t="n">
        <v>12</v>
      </c>
      <c r="B13" s="17" t="s">
        <v>94</v>
      </c>
      <c r="C13" s="17" t="s">
        <v>95</v>
      </c>
      <c r="D13" s="17" t="s">
        <v>96</v>
      </c>
      <c r="E13" s="17" t="s">
        <v>65</v>
      </c>
      <c r="F13" s="17" t="n">
        <v>2017</v>
      </c>
    </row>
    <row r="14" customFormat="false" ht="15" hidden="false" customHeight="false" outlineLevel="0" collapsed="false">
      <c r="A14" s="17" t="n">
        <v>13</v>
      </c>
      <c r="B14" s="17" t="s">
        <v>97</v>
      </c>
      <c r="C14" s="17" t="s">
        <v>98</v>
      </c>
      <c r="D14" s="17" t="s">
        <v>99</v>
      </c>
      <c r="E14" s="17" t="s">
        <v>65</v>
      </c>
      <c r="F14" s="17" t="n">
        <v>2019</v>
      </c>
    </row>
    <row r="15" customFormat="false" ht="15" hidden="false" customHeight="false" outlineLevel="0" collapsed="false">
      <c r="A15" s="17" t="n">
        <v>14</v>
      </c>
      <c r="B15" s="17" t="s">
        <v>100</v>
      </c>
      <c r="C15" s="17" t="s">
        <v>101</v>
      </c>
      <c r="D15" s="17" t="s">
        <v>102</v>
      </c>
      <c r="E15" s="17" t="s">
        <v>65</v>
      </c>
      <c r="F15" s="17" t="n">
        <v>2020</v>
      </c>
    </row>
    <row r="16" customFormat="false" ht="15" hidden="false" customHeight="false" outlineLevel="0" collapsed="false">
      <c r="A16" s="17" t="n">
        <v>15</v>
      </c>
      <c r="B16" s="17" t="s">
        <v>103</v>
      </c>
      <c r="C16" s="17" t="s">
        <v>104</v>
      </c>
      <c r="D16" s="17" t="s">
        <v>105</v>
      </c>
      <c r="E16" s="17" t="s">
        <v>65</v>
      </c>
      <c r="F16" s="17" t="n">
        <v>2021</v>
      </c>
    </row>
    <row r="17" customFormat="false" ht="15" hidden="false" customHeight="false" outlineLevel="0" collapsed="false">
      <c r="A17" s="17" t="n">
        <v>16</v>
      </c>
      <c r="B17" s="17" t="s">
        <v>106</v>
      </c>
      <c r="C17" s="17" t="s">
        <v>107</v>
      </c>
      <c r="D17" s="17" t="s">
        <v>108</v>
      </c>
      <c r="E17" s="17" t="s">
        <v>65</v>
      </c>
      <c r="F17" s="17" t="n">
        <v>2022</v>
      </c>
    </row>
    <row r="18" customFormat="false" ht="15" hidden="false" customHeight="false" outlineLevel="0" collapsed="false">
      <c r="A18" s="17" t="n">
        <v>17</v>
      </c>
      <c r="B18" s="17" t="s">
        <v>109</v>
      </c>
      <c r="C18" s="17" t="s">
        <v>110</v>
      </c>
      <c r="D18" s="17" t="s">
        <v>111</v>
      </c>
      <c r="E18" s="17" t="s">
        <v>112</v>
      </c>
      <c r="F18" s="17" t="n">
        <v>2011</v>
      </c>
    </row>
    <row r="19" customFormat="false" ht="15" hidden="false" customHeight="false" outlineLevel="0" collapsed="false">
      <c r="A19" s="17" t="n">
        <v>18</v>
      </c>
      <c r="B19" s="17" t="s">
        <v>113</v>
      </c>
      <c r="C19" s="17" t="s">
        <v>114</v>
      </c>
      <c r="D19" s="17" t="s">
        <v>115</v>
      </c>
      <c r="E19" s="17" t="s">
        <v>116</v>
      </c>
      <c r="F19" s="17" t="n">
        <v>2020</v>
      </c>
    </row>
    <row r="20" customFormat="false" ht="15" hidden="false" customHeight="false" outlineLevel="0" collapsed="false">
      <c r="A20" s="17" t="n">
        <v>19</v>
      </c>
      <c r="B20" s="17" t="s">
        <v>117</v>
      </c>
      <c r="C20" s="17" t="s">
        <v>118</v>
      </c>
      <c r="D20" s="17" t="s">
        <v>119</v>
      </c>
      <c r="E20" s="17" t="s">
        <v>120</v>
      </c>
      <c r="F20" s="17" t="n">
        <v>2017</v>
      </c>
    </row>
    <row r="21" customFormat="false" ht="15" hidden="false" customHeight="false" outlineLevel="0" collapsed="false">
      <c r="A21" s="17" t="n">
        <v>20</v>
      </c>
      <c r="B21" s="17" t="s">
        <v>121</v>
      </c>
      <c r="C21" s="17" t="s">
        <v>122</v>
      </c>
      <c r="D21" s="17" t="s">
        <v>123</v>
      </c>
      <c r="E21" s="17" t="s">
        <v>124</v>
      </c>
      <c r="F21" s="17" t="n">
        <v>2010</v>
      </c>
    </row>
    <row r="22" customFormat="false" ht="15" hidden="false" customHeight="false" outlineLevel="0" collapsed="false">
      <c r="A22" s="17" t="n">
        <v>21</v>
      </c>
      <c r="B22" s="17" t="s">
        <v>125</v>
      </c>
      <c r="C22" s="17" t="s">
        <v>126</v>
      </c>
      <c r="D22" s="17" t="s">
        <v>127</v>
      </c>
      <c r="E22" s="17" t="s">
        <v>128</v>
      </c>
      <c r="F22" s="17" t="n">
        <v>2007</v>
      </c>
    </row>
    <row r="23" customFormat="false" ht="15" hidden="false" customHeight="false" outlineLevel="0" collapsed="false">
      <c r="A23" s="17" t="n">
        <v>22</v>
      </c>
      <c r="B23" s="17" t="s">
        <v>129</v>
      </c>
      <c r="C23" s="17" t="s">
        <v>130</v>
      </c>
      <c r="D23" s="17" t="s">
        <v>131</v>
      </c>
      <c r="E23" s="17" t="s">
        <v>65</v>
      </c>
      <c r="F23" s="17" t="n">
        <v>2017</v>
      </c>
    </row>
    <row r="24" customFormat="false" ht="15" hidden="false" customHeight="false" outlineLevel="0" collapsed="false">
      <c r="A24" s="17" t="n">
        <v>23</v>
      </c>
      <c r="B24" s="17" t="s">
        <v>132</v>
      </c>
      <c r="C24" s="17" t="s">
        <v>133</v>
      </c>
      <c r="D24" s="17" t="s">
        <v>134</v>
      </c>
      <c r="E24" s="17" t="s">
        <v>65</v>
      </c>
      <c r="F24" s="17" t="n">
        <v>2021</v>
      </c>
    </row>
    <row r="25" customFormat="false" ht="15" hidden="false" customHeight="false" outlineLevel="0" collapsed="false">
      <c r="A25" s="17" t="n">
        <v>24</v>
      </c>
      <c r="B25" s="17" t="s">
        <v>135</v>
      </c>
      <c r="C25" s="17" t="s">
        <v>136</v>
      </c>
      <c r="D25" s="17" t="s">
        <v>137</v>
      </c>
      <c r="E25" s="17" t="s">
        <v>138</v>
      </c>
      <c r="F25" s="17" t="n">
        <v>2010</v>
      </c>
    </row>
    <row r="26" customFormat="false" ht="15" hidden="false" customHeight="false" outlineLevel="0" collapsed="false">
      <c r="A26" s="17" t="n">
        <v>25</v>
      </c>
      <c r="B26" s="17" t="s">
        <v>139</v>
      </c>
      <c r="C26" s="17" t="s">
        <v>140</v>
      </c>
      <c r="D26" s="17" t="s">
        <v>141</v>
      </c>
      <c r="E26" s="17" t="s">
        <v>142</v>
      </c>
      <c r="F26" s="17" t="n">
        <v>2023</v>
      </c>
    </row>
    <row r="27" customFormat="false" ht="15" hidden="false" customHeight="false" outlineLevel="0" collapsed="false">
      <c r="A27" s="17" t="n">
        <v>26</v>
      </c>
      <c r="B27" s="17" t="s">
        <v>143</v>
      </c>
      <c r="C27" s="17" t="s">
        <v>144</v>
      </c>
      <c r="D27" s="17" t="s">
        <v>145</v>
      </c>
      <c r="E27" s="17" t="s">
        <v>146</v>
      </c>
      <c r="F27" s="17" t="n">
        <v>2005</v>
      </c>
    </row>
    <row r="28" customFormat="false" ht="15" hidden="false" customHeight="false" outlineLevel="0" collapsed="false">
      <c r="A28" s="17" t="n">
        <v>27</v>
      </c>
      <c r="B28" s="17" t="s">
        <v>147</v>
      </c>
      <c r="C28" s="17" t="s">
        <v>148</v>
      </c>
      <c r="D28" s="17" t="s">
        <v>149</v>
      </c>
      <c r="E28" s="17" t="s">
        <v>150</v>
      </c>
      <c r="F28" s="17" t="n">
        <v>2008</v>
      </c>
    </row>
    <row r="29" customFormat="false" ht="15" hidden="false" customHeight="false" outlineLevel="0" collapsed="false">
      <c r="A29" s="17" t="n">
        <v>28</v>
      </c>
      <c r="B29" s="17" t="s">
        <v>151</v>
      </c>
      <c r="C29" s="17" t="s">
        <v>152</v>
      </c>
      <c r="D29" s="17" t="s">
        <v>153</v>
      </c>
      <c r="E29" s="17" t="s">
        <v>154</v>
      </c>
      <c r="F29" s="17" t="n">
        <v>2022</v>
      </c>
    </row>
    <row r="30" customFormat="false" ht="15" hidden="false" customHeight="false" outlineLevel="0" collapsed="false">
      <c r="A30" s="17" t="n">
        <v>29</v>
      </c>
      <c r="B30" s="17" t="s">
        <v>155</v>
      </c>
      <c r="C30" s="17" t="s">
        <v>156</v>
      </c>
      <c r="D30" s="17" t="s">
        <v>157</v>
      </c>
      <c r="E30" s="17" t="s">
        <v>128</v>
      </c>
      <c r="F30" s="17" t="n">
        <v>2019</v>
      </c>
    </row>
    <row r="31" customFormat="false" ht="15" hidden="false" customHeight="false" outlineLevel="0" collapsed="false">
      <c r="A31" s="18" t="n">
        <v>30</v>
      </c>
      <c r="B31" s="18" t="s">
        <v>158</v>
      </c>
      <c r="C31" s="18" t="s">
        <v>159</v>
      </c>
      <c r="D31" s="18" t="s">
        <v>160</v>
      </c>
      <c r="E31" s="18" t="s">
        <v>161</v>
      </c>
      <c r="F31" s="18" t="n">
        <v>2026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H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57" min="2" style="0" width="10"/>
    <col collapsed="false" customWidth="true" hidden="false" outlineLevel="0" max="60" min="58" style="0" width="14"/>
  </cols>
  <sheetData>
    <row r="1" customFormat="false" ht="24" hidden="false" customHeight="true" outlineLevel="0" collapsed="false">
      <c r="A1" s="16" t="s">
        <v>53</v>
      </c>
      <c r="B1" s="16" t="s">
        <v>162</v>
      </c>
      <c r="C1" s="16"/>
      <c r="D1" s="16"/>
      <c r="E1" s="16"/>
      <c r="F1" s="16"/>
      <c r="G1" s="16"/>
      <c r="H1" s="16"/>
      <c r="I1" s="16"/>
      <c r="J1" s="16" t="s">
        <v>163</v>
      </c>
      <c r="K1" s="16"/>
      <c r="L1" s="16"/>
      <c r="M1" s="16"/>
      <c r="N1" s="16"/>
      <c r="O1" s="16" t="s">
        <v>164</v>
      </c>
      <c r="P1" s="16"/>
      <c r="Q1" s="16"/>
      <c r="R1" s="16"/>
      <c r="S1" s="16"/>
      <c r="T1" s="16" t="s">
        <v>165</v>
      </c>
      <c r="U1" s="16"/>
      <c r="V1" s="16"/>
      <c r="W1" s="16"/>
      <c r="X1" s="16"/>
      <c r="Y1" s="16"/>
      <c r="Z1" s="16" t="s">
        <v>166</v>
      </c>
      <c r="AA1" s="16"/>
      <c r="AB1" s="16"/>
      <c r="AC1" s="16"/>
      <c r="AD1" s="16"/>
      <c r="AE1" s="16" t="s">
        <v>167</v>
      </c>
      <c r="AF1" s="16"/>
      <c r="AG1" s="16"/>
      <c r="AH1" s="16"/>
      <c r="AI1" s="16"/>
      <c r="AJ1" s="16" t="s">
        <v>168</v>
      </c>
      <c r="AK1" s="16"/>
      <c r="AL1" s="16"/>
      <c r="AM1" s="16"/>
      <c r="AN1" s="16"/>
      <c r="AO1" s="16" t="s">
        <v>169</v>
      </c>
      <c r="AP1" s="16"/>
      <c r="AQ1" s="16"/>
      <c r="AR1" s="16"/>
      <c r="AS1" s="16" t="s">
        <v>170</v>
      </c>
      <c r="AT1" s="16"/>
      <c r="AU1" s="16"/>
      <c r="AV1" s="16"/>
      <c r="AW1" s="16"/>
      <c r="AX1" s="16"/>
      <c r="AY1" s="16"/>
      <c r="AZ1" s="16" t="s">
        <v>171</v>
      </c>
      <c r="BA1" s="16"/>
      <c r="BB1" s="16"/>
      <c r="BC1" s="16"/>
      <c r="BD1" s="16"/>
      <c r="BE1" s="16"/>
    </row>
    <row r="2" customFormat="false" ht="69.75" hidden="false" customHeight="true" outlineLevel="0" collapsed="false">
      <c r="A2" s="16"/>
      <c r="B2" s="19" t="s">
        <v>172</v>
      </c>
      <c r="C2" s="19" t="s">
        <v>173</v>
      </c>
      <c r="D2" s="19" t="s">
        <v>174</v>
      </c>
      <c r="E2" s="19" t="s">
        <v>175</v>
      </c>
      <c r="F2" s="19" t="s">
        <v>176</v>
      </c>
      <c r="G2" s="19" t="s">
        <v>177</v>
      </c>
      <c r="H2" s="19" t="s">
        <v>178</v>
      </c>
      <c r="I2" s="19" t="s">
        <v>179</v>
      </c>
      <c r="J2" s="19" t="s">
        <v>180</v>
      </c>
      <c r="K2" s="19" t="s">
        <v>181</v>
      </c>
      <c r="L2" s="19" t="s">
        <v>182</v>
      </c>
      <c r="M2" s="19" t="s">
        <v>183</v>
      </c>
      <c r="N2" s="19" t="s">
        <v>184</v>
      </c>
      <c r="O2" s="19" t="s">
        <v>185</v>
      </c>
      <c r="P2" s="19" t="s">
        <v>186</v>
      </c>
      <c r="Q2" s="19" t="s">
        <v>187</v>
      </c>
      <c r="R2" s="19" t="s">
        <v>188</v>
      </c>
      <c r="S2" s="19" t="s">
        <v>189</v>
      </c>
      <c r="T2" s="19" t="s">
        <v>190</v>
      </c>
      <c r="U2" s="19" t="s">
        <v>191</v>
      </c>
      <c r="V2" s="19" t="s">
        <v>192</v>
      </c>
      <c r="W2" s="19" t="s">
        <v>193</v>
      </c>
      <c r="X2" s="19" t="s">
        <v>194</v>
      </c>
      <c r="Y2" s="19" t="s">
        <v>195</v>
      </c>
      <c r="Z2" s="19" t="s">
        <v>196</v>
      </c>
      <c r="AA2" s="19" t="s">
        <v>197</v>
      </c>
      <c r="AB2" s="19" t="s">
        <v>198</v>
      </c>
      <c r="AC2" s="19" t="s">
        <v>199</v>
      </c>
      <c r="AD2" s="19" t="s">
        <v>200</v>
      </c>
      <c r="AE2" s="19" t="s">
        <v>201</v>
      </c>
      <c r="AF2" s="19" t="s">
        <v>202</v>
      </c>
      <c r="AG2" s="19" t="s">
        <v>203</v>
      </c>
      <c r="AH2" s="19" t="s">
        <v>204</v>
      </c>
      <c r="AI2" s="19" t="s">
        <v>205</v>
      </c>
      <c r="AJ2" s="19" t="s">
        <v>206</v>
      </c>
      <c r="AK2" s="19" t="s">
        <v>207</v>
      </c>
      <c r="AL2" s="19" t="s">
        <v>208</v>
      </c>
      <c r="AM2" s="19" t="s">
        <v>209</v>
      </c>
      <c r="AN2" s="19" t="s">
        <v>210</v>
      </c>
      <c r="AO2" s="19" t="s">
        <v>211</v>
      </c>
      <c r="AP2" s="19" t="s">
        <v>212</v>
      </c>
      <c r="AQ2" s="19" t="s">
        <v>213</v>
      </c>
      <c r="AR2" s="19" t="s">
        <v>214</v>
      </c>
      <c r="AS2" s="19" t="s">
        <v>215</v>
      </c>
      <c r="AT2" s="19" t="s">
        <v>216</v>
      </c>
      <c r="AU2" s="19" t="s">
        <v>217</v>
      </c>
      <c r="AV2" s="19" t="s">
        <v>218</v>
      </c>
      <c r="AW2" s="19" t="s">
        <v>219</v>
      </c>
      <c r="AX2" s="19" t="s">
        <v>220</v>
      </c>
      <c r="AY2" s="19" t="s">
        <v>221</v>
      </c>
      <c r="AZ2" s="19" t="s">
        <v>222</v>
      </c>
      <c r="BA2" s="19" t="s">
        <v>223</v>
      </c>
      <c r="BB2" s="19" t="s">
        <v>224</v>
      </c>
      <c r="BC2" s="19" t="s">
        <v>225</v>
      </c>
      <c r="BD2" s="19" t="s">
        <v>226</v>
      </c>
      <c r="BE2" s="19" t="s">
        <v>227</v>
      </c>
      <c r="BF2" s="16" t="s">
        <v>228</v>
      </c>
      <c r="BG2" s="16" t="s">
        <v>229</v>
      </c>
      <c r="BH2" s="16" t="s">
        <v>230</v>
      </c>
    </row>
    <row r="3" customFormat="false" ht="15" hidden="false" customHeight="false" outlineLevel="0" collapsed="false">
      <c r="A3" s="20" t="s">
        <v>58</v>
      </c>
      <c r="B3" s="21" t="s">
        <v>38</v>
      </c>
      <c r="C3" s="21" t="s">
        <v>38</v>
      </c>
      <c r="D3" s="21" t="s">
        <v>38</v>
      </c>
      <c r="E3" s="21" t="s">
        <v>38</v>
      </c>
      <c r="F3" s="21" t="s">
        <v>38</v>
      </c>
      <c r="G3" s="21" t="s">
        <v>38</v>
      </c>
      <c r="H3" s="21" t="s">
        <v>38</v>
      </c>
      <c r="I3" s="22" t="s">
        <v>40</v>
      </c>
      <c r="J3" s="23"/>
      <c r="K3" s="23"/>
      <c r="L3" s="23"/>
      <c r="M3" s="23"/>
      <c r="N3" s="23"/>
      <c r="O3" s="23"/>
      <c r="P3" s="23"/>
      <c r="Q3" s="23"/>
      <c r="R3" s="23"/>
      <c r="S3" s="23"/>
      <c r="T3" s="21" t="s">
        <v>38</v>
      </c>
      <c r="U3" s="21" t="s">
        <v>38</v>
      </c>
      <c r="V3" s="23"/>
      <c r="W3" s="23"/>
      <c r="X3" s="21" t="s">
        <v>38</v>
      </c>
      <c r="Y3" s="21" t="s">
        <v>38</v>
      </c>
      <c r="Z3" s="21" t="s">
        <v>38</v>
      </c>
      <c r="AA3" s="21" t="s">
        <v>38</v>
      </c>
      <c r="AB3" s="21" t="s">
        <v>38</v>
      </c>
      <c r="AC3" s="21" t="s">
        <v>38</v>
      </c>
      <c r="AD3" s="21" t="s">
        <v>38</v>
      </c>
      <c r="AE3" s="23"/>
      <c r="AF3" s="23"/>
      <c r="AG3" s="23"/>
      <c r="AH3" s="22" t="s">
        <v>40</v>
      </c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1" t="s">
        <v>38</v>
      </c>
      <c r="AT3" s="21" t="s">
        <v>38</v>
      </c>
      <c r="AU3" s="21" t="s">
        <v>38</v>
      </c>
      <c r="AV3" s="23"/>
      <c r="AW3" s="21" t="s">
        <v>38</v>
      </c>
      <c r="AX3" s="23"/>
      <c r="AY3" s="23"/>
      <c r="AZ3" s="23"/>
      <c r="BA3" s="23"/>
      <c r="BB3" s="23"/>
      <c r="BC3" s="23"/>
      <c r="BD3" s="23"/>
      <c r="BE3" s="23"/>
      <c r="BF3" s="13" t="n">
        <f aca="false">COUNTIF(B3:BE3,"Y")</f>
        <v>20</v>
      </c>
      <c r="BG3" s="13" t="n">
        <f aca="false">COUNTIF(B3:BE3,"P")</f>
        <v>2</v>
      </c>
      <c r="BH3" s="13" t="n">
        <f aca="false">BF3+BG3*0.5</f>
        <v>21</v>
      </c>
    </row>
    <row r="4" customFormat="false" ht="15" hidden="false" customHeight="false" outlineLevel="0" collapsed="false">
      <c r="A4" s="20" t="s">
        <v>62</v>
      </c>
      <c r="B4" s="21" t="s">
        <v>38</v>
      </c>
      <c r="C4" s="21" t="s">
        <v>38</v>
      </c>
      <c r="D4" s="21" t="s">
        <v>38</v>
      </c>
      <c r="E4" s="21" t="s">
        <v>38</v>
      </c>
      <c r="F4" s="21" t="s">
        <v>38</v>
      </c>
      <c r="G4" s="21" t="s">
        <v>38</v>
      </c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2" t="s">
        <v>40</v>
      </c>
      <c r="AF4" s="23"/>
      <c r="AG4" s="23"/>
      <c r="AH4" s="21" t="s">
        <v>38</v>
      </c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1" t="s">
        <v>38</v>
      </c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13" t="n">
        <f aca="false">COUNTIF(B4:BE4,"Y")</f>
        <v>8</v>
      </c>
      <c r="BG4" s="13" t="n">
        <f aca="false">COUNTIF(B4:BE4,"P")</f>
        <v>1</v>
      </c>
      <c r="BH4" s="13" t="n">
        <f aca="false">BF4+BG4*0.5</f>
        <v>8.5</v>
      </c>
    </row>
    <row r="5" customFormat="false" ht="15" hidden="false" customHeight="false" outlineLevel="0" collapsed="false">
      <c r="A5" s="20" t="s">
        <v>66</v>
      </c>
      <c r="B5" s="21" t="s">
        <v>38</v>
      </c>
      <c r="C5" s="21" t="s">
        <v>38</v>
      </c>
      <c r="D5" s="21" t="s">
        <v>38</v>
      </c>
      <c r="E5" s="21" t="s">
        <v>38</v>
      </c>
      <c r="F5" s="21" t="s">
        <v>38</v>
      </c>
      <c r="G5" s="21" t="s">
        <v>38</v>
      </c>
      <c r="H5" s="21" t="s">
        <v>38</v>
      </c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1" t="s">
        <v>38</v>
      </c>
      <c r="AF5" s="21" t="s">
        <v>38</v>
      </c>
      <c r="AG5" s="23"/>
      <c r="AH5" s="21" t="s">
        <v>38</v>
      </c>
      <c r="AI5" s="22" t="s">
        <v>40</v>
      </c>
      <c r="AJ5" s="23"/>
      <c r="AK5" s="23"/>
      <c r="AL5" s="23"/>
      <c r="AM5" s="23"/>
      <c r="AN5" s="23"/>
      <c r="AO5" s="23"/>
      <c r="AP5" s="23"/>
      <c r="AQ5" s="23"/>
      <c r="AR5" s="23"/>
      <c r="AS5" s="21" t="s">
        <v>38</v>
      </c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13" t="n">
        <f aca="false">COUNTIF(B5:BE5,"Y")</f>
        <v>11</v>
      </c>
      <c r="BG5" s="13" t="n">
        <f aca="false">COUNTIF(B5:BE5,"P")</f>
        <v>1</v>
      </c>
      <c r="BH5" s="13" t="n">
        <f aca="false">BF5+BG5*0.5</f>
        <v>11.5</v>
      </c>
    </row>
    <row r="6" customFormat="false" ht="15" hidden="false" customHeight="false" outlineLevel="0" collapsed="false">
      <c r="A6" s="20" t="s">
        <v>69</v>
      </c>
      <c r="B6" s="23"/>
      <c r="C6" s="21" t="s">
        <v>38</v>
      </c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2" t="s">
        <v>40</v>
      </c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1" t="s">
        <v>38</v>
      </c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13" t="n">
        <f aca="false">COUNTIF(B6:BE6,"Y")</f>
        <v>2</v>
      </c>
      <c r="BG6" s="13" t="n">
        <f aca="false">COUNTIF(B6:BE6,"P")</f>
        <v>1</v>
      </c>
      <c r="BH6" s="13" t="n">
        <f aca="false">BF6+BG6*0.5</f>
        <v>2.5</v>
      </c>
    </row>
    <row r="7" customFormat="false" ht="15" hidden="false" customHeight="false" outlineLevel="0" collapsed="false">
      <c r="A7" s="20" t="s">
        <v>72</v>
      </c>
      <c r="B7" s="23"/>
      <c r="C7" s="23"/>
      <c r="D7" s="23"/>
      <c r="E7" s="23"/>
      <c r="F7" s="23"/>
      <c r="G7" s="23"/>
      <c r="H7" s="23"/>
      <c r="I7" s="23"/>
      <c r="J7" s="21" t="s">
        <v>38</v>
      </c>
      <c r="K7" s="21" t="s">
        <v>38</v>
      </c>
      <c r="L7" s="22" t="s">
        <v>40</v>
      </c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2" t="s">
        <v>40</v>
      </c>
      <c r="AF7" s="21" t="s">
        <v>38</v>
      </c>
      <c r="AG7" s="21" t="s">
        <v>38</v>
      </c>
      <c r="AH7" s="21" t="s">
        <v>38</v>
      </c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1" t="s">
        <v>38</v>
      </c>
      <c r="AT7" s="23"/>
      <c r="AU7" s="23"/>
      <c r="AV7" s="23"/>
      <c r="AW7" s="21" t="s">
        <v>38</v>
      </c>
      <c r="AX7" s="23"/>
      <c r="AY7" s="23"/>
      <c r="AZ7" s="23"/>
      <c r="BA7" s="23"/>
      <c r="BB7" s="23"/>
      <c r="BC7" s="23"/>
      <c r="BD7" s="23"/>
      <c r="BE7" s="23"/>
      <c r="BF7" s="13" t="n">
        <f aca="false">COUNTIF(B7:BE7,"Y")</f>
        <v>7</v>
      </c>
      <c r="BG7" s="13" t="n">
        <f aca="false">COUNTIF(B7:BE7,"P")</f>
        <v>2</v>
      </c>
      <c r="BH7" s="13" t="n">
        <f aca="false">BF7+BG7*0.5</f>
        <v>8</v>
      </c>
    </row>
    <row r="8" customFormat="false" ht="15" hidden="false" customHeight="false" outlineLevel="0" collapsed="false">
      <c r="A8" s="20" t="s">
        <v>76</v>
      </c>
      <c r="B8" s="23"/>
      <c r="C8" s="23"/>
      <c r="D8" s="23"/>
      <c r="E8" s="23"/>
      <c r="F8" s="23"/>
      <c r="G8" s="23"/>
      <c r="H8" s="23"/>
      <c r="I8" s="23"/>
      <c r="J8" s="23"/>
      <c r="K8" s="21" t="s">
        <v>38</v>
      </c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1" t="s">
        <v>38</v>
      </c>
      <c r="AF8" s="21" t="s">
        <v>38</v>
      </c>
      <c r="AG8" s="21" t="s">
        <v>38</v>
      </c>
      <c r="AH8" s="21" t="s">
        <v>38</v>
      </c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1" t="s">
        <v>38</v>
      </c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13" t="n">
        <f aca="false">COUNTIF(B8:BE8,"Y")</f>
        <v>6</v>
      </c>
      <c r="BG8" s="13" t="n">
        <f aca="false">COUNTIF(B8:BE8,"P")</f>
        <v>0</v>
      </c>
      <c r="BH8" s="13" t="n">
        <f aca="false">BF8+BG8*0.5</f>
        <v>6</v>
      </c>
    </row>
    <row r="9" customFormat="false" ht="15" hidden="false" customHeight="false" outlineLevel="0" collapsed="false">
      <c r="A9" s="20" t="s">
        <v>79</v>
      </c>
      <c r="B9" s="21" t="s">
        <v>38</v>
      </c>
      <c r="C9" s="21" t="s">
        <v>38</v>
      </c>
      <c r="D9" s="21" t="s">
        <v>38</v>
      </c>
      <c r="E9" s="21" t="s">
        <v>38</v>
      </c>
      <c r="F9" s="21" t="s">
        <v>38</v>
      </c>
      <c r="G9" s="21" t="s">
        <v>38</v>
      </c>
      <c r="H9" s="21" t="s">
        <v>38</v>
      </c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1" t="s">
        <v>38</v>
      </c>
      <c r="AF9" s="23"/>
      <c r="AG9" s="23"/>
      <c r="AH9" s="21" t="s">
        <v>38</v>
      </c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1" t="s">
        <v>38</v>
      </c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13" t="n">
        <f aca="false">COUNTIF(B9:BE9,"Y")</f>
        <v>10</v>
      </c>
      <c r="BG9" s="13" t="n">
        <f aca="false">COUNTIF(B9:BE9,"P")</f>
        <v>0</v>
      </c>
      <c r="BH9" s="13" t="n">
        <f aca="false">BF9+BG9*0.5</f>
        <v>10</v>
      </c>
    </row>
    <row r="10" customFormat="false" ht="15" hidden="false" customHeight="false" outlineLevel="0" collapsed="false">
      <c r="A10" s="20" t="s">
        <v>82</v>
      </c>
      <c r="B10" s="21" t="s">
        <v>38</v>
      </c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1" t="s">
        <v>38</v>
      </c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1" t="s">
        <v>38</v>
      </c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13" t="n">
        <f aca="false">COUNTIF(B10:BE10,"Y")</f>
        <v>3</v>
      </c>
      <c r="BG10" s="13" t="n">
        <f aca="false">COUNTIF(B10:BE10,"P")</f>
        <v>0</v>
      </c>
      <c r="BH10" s="13" t="n">
        <f aca="false">BF10+BG10*0.5</f>
        <v>3</v>
      </c>
    </row>
    <row r="11" customFormat="false" ht="15" hidden="false" customHeight="false" outlineLevel="0" collapsed="false">
      <c r="A11" s="20" t="s">
        <v>85</v>
      </c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1" t="s">
        <v>38</v>
      </c>
      <c r="U11" s="21" t="s">
        <v>38</v>
      </c>
      <c r="V11" s="23"/>
      <c r="W11" s="23"/>
      <c r="X11" s="23"/>
      <c r="Y11" s="23"/>
      <c r="Z11" s="23"/>
      <c r="AA11" s="23"/>
      <c r="AB11" s="23"/>
      <c r="AC11" s="22" t="s">
        <v>40</v>
      </c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1" t="s">
        <v>38</v>
      </c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13" t="n">
        <f aca="false">COUNTIF(B11:BE11,"Y")</f>
        <v>3</v>
      </c>
      <c r="BG11" s="13" t="n">
        <f aca="false">COUNTIF(B11:BE11,"P")</f>
        <v>1</v>
      </c>
      <c r="BH11" s="13" t="n">
        <f aca="false">BF11+BG11*0.5</f>
        <v>3.5</v>
      </c>
    </row>
    <row r="12" customFormat="false" ht="15" hidden="false" customHeight="false" outlineLevel="0" collapsed="false">
      <c r="A12" s="20" t="s">
        <v>88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1" t="s">
        <v>38</v>
      </c>
      <c r="Y12" s="21" t="s">
        <v>38</v>
      </c>
      <c r="Z12" s="23"/>
      <c r="AA12" s="23"/>
      <c r="AB12" s="23"/>
      <c r="AC12" s="21" t="s">
        <v>38</v>
      </c>
      <c r="AD12" s="21" t="s">
        <v>38</v>
      </c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1" t="s">
        <v>38</v>
      </c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13" t="n">
        <f aca="false">COUNTIF(B12:BE12,"Y")</f>
        <v>5</v>
      </c>
      <c r="BG12" s="13" t="n">
        <f aca="false">COUNTIF(B12:BE12,"P")</f>
        <v>0</v>
      </c>
      <c r="BH12" s="13" t="n">
        <f aca="false">BF12+BG12*0.5</f>
        <v>5</v>
      </c>
    </row>
    <row r="13" customFormat="false" ht="15" hidden="false" customHeight="false" outlineLevel="0" collapsed="false">
      <c r="A13" s="20" t="s">
        <v>91</v>
      </c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1" t="s">
        <v>38</v>
      </c>
      <c r="U13" s="21" t="s">
        <v>38</v>
      </c>
      <c r="V13" s="23"/>
      <c r="W13" s="23"/>
      <c r="X13" s="23"/>
      <c r="Y13" s="23"/>
      <c r="Z13" s="23"/>
      <c r="AA13" s="23"/>
      <c r="AB13" s="23"/>
      <c r="AC13" s="22" t="s">
        <v>40</v>
      </c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1" t="s">
        <v>38</v>
      </c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13" t="n">
        <f aca="false">COUNTIF(B13:BE13,"Y")</f>
        <v>3</v>
      </c>
      <c r="BG13" s="13" t="n">
        <f aca="false">COUNTIF(B13:BE13,"P")</f>
        <v>1</v>
      </c>
      <c r="BH13" s="13" t="n">
        <f aca="false">BF13+BG13*0.5</f>
        <v>3.5</v>
      </c>
    </row>
    <row r="14" customFormat="false" ht="15" hidden="false" customHeight="false" outlineLevel="0" collapsed="false">
      <c r="A14" s="20" t="s">
        <v>94</v>
      </c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1" t="s">
        <v>38</v>
      </c>
      <c r="AT14" s="23"/>
      <c r="AU14" s="23"/>
      <c r="AV14" s="23"/>
      <c r="AW14" s="22" t="s">
        <v>40</v>
      </c>
      <c r="AX14" s="23"/>
      <c r="AY14" s="23"/>
      <c r="AZ14" s="23"/>
      <c r="BA14" s="23"/>
      <c r="BB14" s="23"/>
      <c r="BC14" s="23"/>
      <c r="BD14" s="23"/>
      <c r="BE14" s="23"/>
      <c r="BF14" s="13" t="n">
        <f aca="false">COUNTIF(B14:BE14,"Y")</f>
        <v>1</v>
      </c>
      <c r="BG14" s="13" t="n">
        <f aca="false">COUNTIF(B14:BE14,"P")</f>
        <v>1</v>
      </c>
      <c r="BH14" s="13" t="n">
        <f aca="false">BF14+BG14*0.5</f>
        <v>1.5</v>
      </c>
    </row>
    <row r="15" customFormat="false" ht="15" hidden="false" customHeight="false" outlineLevel="0" collapsed="false">
      <c r="A15" s="20" t="s">
        <v>97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1" t="s">
        <v>38</v>
      </c>
      <c r="P15" s="23"/>
      <c r="Q15" s="23"/>
      <c r="R15" s="23"/>
      <c r="S15" s="21" t="s">
        <v>38</v>
      </c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1" t="s">
        <v>38</v>
      </c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13" t="n">
        <f aca="false">COUNTIF(B15:BE15,"Y")</f>
        <v>3</v>
      </c>
      <c r="BG15" s="13" t="n">
        <f aca="false">COUNTIF(B15:BE15,"P")</f>
        <v>0</v>
      </c>
      <c r="BH15" s="13" t="n">
        <f aca="false">BF15+BG15*0.5</f>
        <v>3</v>
      </c>
    </row>
    <row r="16" customFormat="false" ht="15" hidden="false" customHeight="false" outlineLevel="0" collapsed="false">
      <c r="A16" s="20" t="s">
        <v>100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1" t="s">
        <v>38</v>
      </c>
      <c r="P16" s="23"/>
      <c r="Q16" s="23"/>
      <c r="R16" s="23"/>
      <c r="S16" s="21" t="s">
        <v>38</v>
      </c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1" t="s">
        <v>38</v>
      </c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13" t="n">
        <f aca="false">COUNTIF(B16:BE16,"Y")</f>
        <v>3</v>
      </c>
      <c r="BG16" s="13" t="n">
        <f aca="false">COUNTIF(B16:BE16,"P")</f>
        <v>0</v>
      </c>
      <c r="BH16" s="13" t="n">
        <f aca="false">BF16+BG16*0.5</f>
        <v>3</v>
      </c>
    </row>
    <row r="17" customFormat="false" ht="15" hidden="false" customHeight="false" outlineLevel="0" collapsed="false">
      <c r="A17" s="20" t="s">
        <v>103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1" t="s">
        <v>38</v>
      </c>
      <c r="P17" s="23"/>
      <c r="Q17" s="22" t="s">
        <v>40</v>
      </c>
      <c r="R17" s="23"/>
      <c r="S17" s="21" t="s">
        <v>38</v>
      </c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1" t="s">
        <v>38</v>
      </c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13" t="n">
        <f aca="false">COUNTIF(B17:BE17,"Y")</f>
        <v>3</v>
      </c>
      <c r="BG17" s="13" t="n">
        <f aca="false">COUNTIF(B17:BE17,"P")</f>
        <v>1</v>
      </c>
      <c r="BH17" s="13" t="n">
        <f aca="false">BF17+BG17*0.5</f>
        <v>3.5</v>
      </c>
    </row>
    <row r="18" customFormat="false" ht="15" hidden="false" customHeight="false" outlineLevel="0" collapsed="false">
      <c r="A18" s="20" t="s">
        <v>106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1" t="s">
        <v>38</v>
      </c>
      <c r="P18" s="23"/>
      <c r="Q18" s="23"/>
      <c r="R18" s="23"/>
      <c r="S18" s="21" t="s">
        <v>38</v>
      </c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1" t="s">
        <v>38</v>
      </c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13" t="n">
        <f aca="false">COUNTIF(B18:BE18,"Y")</f>
        <v>3</v>
      </c>
      <c r="BG18" s="13" t="n">
        <f aca="false">COUNTIF(B18:BE18,"P")</f>
        <v>0</v>
      </c>
      <c r="BH18" s="13" t="n">
        <f aca="false">BF18+BG18*0.5</f>
        <v>3</v>
      </c>
    </row>
    <row r="19" customFormat="false" ht="15" hidden="false" customHeight="false" outlineLevel="0" collapsed="false">
      <c r="A19" s="20" t="s">
        <v>109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1" t="s">
        <v>38</v>
      </c>
      <c r="P19" s="21" t="s">
        <v>38</v>
      </c>
      <c r="Q19" s="21" t="s">
        <v>38</v>
      </c>
      <c r="R19" s="21" t="s">
        <v>38</v>
      </c>
      <c r="S19" s="21" t="s">
        <v>38</v>
      </c>
      <c r="T19" s="23"/>
      <c r="U19" s="22" t="s">
        <v>40</v>
      </c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1" t="s">
        <v>38</v>
      </c>
      <c r="AT19" s="23"/>
      <c r="AU19" s="23"/>
      <c r="AV19" s="23"/>
      <c r="AW19" s="21" t="s">
        <v>38</v>
      </c>
      <c r="AX19" s="23"/>
      <c r="AY19" s="23"/>
      <c r="AZ19" s="23"/>
      <c r="BA19" s="23"/>
      <c r="BB19" s="23"/>
      <c r="BC19" s="23"/>
      <c r="BD19" s="23"/>
      <c r="BE19" s="23"/>
      <c r="BF19" s="13" t="n">
        <f aca="false">COUNTIF(B19:BE19,"Y")</f>
        <v>7</v>
      </c>
      <c r="BG19" s="13" t="n">
        <f aca="false">COUNTIF(B19:BE19,"P")</f>
        <v>1</v>
      </c>
      <c r="BH19" s="13" t="n">
        <f aca="false">BF19+BG19*0.5</f>
        <v>7.5</v>
      </c>
    </row>
    <row r="20" customFormat="false" ht="15" hidden="false" customHeight="false" outlineLevel="0" collapsed="false">
      <c r="A20" s="20" t="s">
        <v>113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1" t="s">
        <v>38</v>
      </c>
      <c r="Y20" s="21" t="s">
        <v>38</v>
      </c>
      <c r="Z20" s="23"/>
      <c r="AA20" s="23"/>
      <c r="AB20" s="23"/>
      <c r="AC20" s="23"/>
      <c r="AD20" s="23"/>
      <c r="AE20" s="23"/>
      <c r="AF20" s="22" t="s">
        <v>40</v>
      </c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1" t="s">
        <v>38</v>
      </c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13" t="n">
        <f aca="false">COUNTIF(B20:BE20,"Y")</f>
        <v>3</v>
      </c>
      <c r="BG20" s="13" t="n">
        <f aca="false">COUNTIF(B20:BE20,"P")</f>
        <v>1</v>
      </c>
      <c r="BH20" s="13" t="n">
        <f aca="false">BF20+BG20*0.5</f>
        <v>3.5</v>
      </c>
    </row>
    <row r="21" customFormat="false" ht="15" hidden="false" customHeight="false" outlineLevel="0" collapsed="false">
      <c r="A21" s="20" t="s">
        <v>117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2" t="s">
        <v>40</v>
      </c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1" t="s">
        <v>38</v>
      </c>
      <c r="AH21" s="23"/>
      <c r="AI21" s="21" t="s">
        <v>38</v>
      </c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1" t="s">
        <v>38</v>
      </c>
      <c r="AU21" s="21" t="s">
        <v>38</v>
      </c>
      <c r="AV21" s="23"/>
      <c r="AW21" s="23"/>
      <c r="AX21" s="22" t="s">
        <v>40</v>
      </c>
      <c r="AY21" s="23"/>
      <c r="AZ21" s="23"/>
      <c r="BA21" s="23"/>
      <c r="BB21" s="23"/>
      <c r="BC21" s="23"/>
      <c r="BD21" s="23"/>
      <c r="BE21" s="23"/>
      <c r="BF21" s="13" t="n">
        <f aca="false">COUNTIF(B21:BE21,"Y")</f>
        <v>4</v>
      </c>
      <c r="BG21" s="13" t="n">
        <f aca="false">COUNTIF(B21:BE21,"P")</f>
        <v>2</v>
      </c>
      <c r="BH21" s="13" t="n">
        <f aca="false">BF21+BG21*0.5</f>
        <v>5</v>
      </c>
    </row>
    <row r="22" customFormat="false" ht="15" hidden="false" customHeight="false" outlineLevel="0" collapsed="false">
      <c r="A22" s="20" t="s">
        <v>121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1" t="s">
        <v>38</v>
      </c>
      <c r="W22" s="22" t="s">
        <v>40</v>
      </c>
      <c r="X22" s="23"/>
      <c r="Y22" s="21" t="s">
        <v>38</v>
      </c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1" t="s">
        <v>38</v>
      </c>
      <c r="AT22" s="23"/>
      <c r="AU22" s="23"/>
      <c r="AV22" s="23"/>
      <c r="AW22" s="21" t="s">
        <v>38</v>
      </c>
      <c r="AX22" s="23"/>
      <c r="AY22" s="23"/>
      <c r="AZ22" s="23"/>
      <c r="BA22" s="23"/>
      <c r="BB22" s="23"/>
      <c r="BC22" s="23"/>
      <c r="BD22" s="23"/>
      <c r="BE22" s="23"/>
      <c r="BF22" s="13" t="n">
        <f aca="false">COUNTIF(B22:BE22,"Y")</f>
        <v>4</v>
      </c>
      <c r="BG22" s="13" t="n">
        <f aca="false">COUNTIF(B22:BE22,"P")</f>
        <v>1</v>
      </c>
      <c r="BH22" s="13" t="n">
        <f aca="false">BF22+BG22*0.5</f>
        <v>4.5</v>
      </c>
    </row>
    <row r="23" customFormat="false" ht="15" hidden="false" customHeight="false" outlineLevel="0" collapsed="false">
      <c r="A23" s="20" t="s">
        <v>125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1" t="s">
        <v>38</v>
      </c>
      <c r="X23" s="23"/>
      <c r="Y23" s="21" t="s">
        <v>38</v>
      </c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13" t="n">
        <f aca="false">COUNTIF(B23:BE23,"Y")</f>
        <v>2</v>
      </c>
      <c r="BG23" s="13" t="n">
        <f aca="false">COUNTIF(B23:BE23,"P")</f>
        <v>0</v>
      </c>
      <c r="BH23" s="13" t="n">
        <f aca="false">BF23+BG23*0.5</f>
        <v>2</v>
      </c>
    </row>
    <row r="24" customFormat="false" ht="15" hidden="false" customHeight="false" outlineLevel="0" collapsed="false">
      <c r="A24" s="20" t="s">
        <v>129</v>
      </c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1" t="s">
        <v>38</v>
      </c>
      <c r="W24" s="21" t="s">
        <v>38</v>
      </c>
      <c r="X24" s="23"/>
      <c r="Y24" s="21" t="s">
        <v>38</v>
      </c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1" t="s">
        <v>38</v>
      </c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13" t="n">
        <f aca="false">COUNTIF(B24:BE24,"Y")</f>
        <v>4</v>
      </c>
      <c r="BG24" s="13" t="n">
        <f aca="false">COUNTIF(B24:BE24,"P")</f>
        <v>0</v>
      </c>
      <c r="BH24" s="13" t="n">
        <f aca="false">BF24+BG24*0.5</f>
        <v>4</v>
      </c>
    </row>
    <row r="25" customFormat="false" ht="15" hidden="false" customHeight="false" outlineLevel="0" collapsed="false">
      <c r="A25" s="20" t="s">
        <v>132</v>
      </c>
      <c r="B25" s="23"/>
      <c r="C25" s="23"/>
      <c r="D25" s="23"/>
      <c r="E25" s="23"/>
      <c r="F25" s="23"/>
      <c r="G25" s="23"/>
      <c r="H25" s="23"/>
      <c r="I25" s="23"/>
      <c r="J25" s="23"/>
      <c r="K25" s="21" t="s">
        <v>38</v>
      </c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1" t="s">
        <v>38</v>
      </c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1" t="s">
        <v>38</v>
      </c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13" t="n">
        <f aca="false">COUNTIF(B25:BE25,"Y")</f>
        <v>3</v>
      </c>
      <c r="BG25" s="13" t="n">
        <f aca="false">COUNTIF(B25:BE25,"P")</f>
        <v>0</v>
      </c>
      <c r="BH25" s="13" t="n">
        <f aca="false">BF25+BG25*0.5</f>
        <v>3</v>
      </c>
    </row>
    <row r="26" customFormat="false" ht="15" hidden="false" customHeight="false" outlineLevel="0" collapsed="false">
      <c r="A26" s="20" t="s">
        <v>135</v>
      </c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2" t="s">
        <v>40</v>
      </c>
      <c r="AA26" s="22" t="s">
        <v>40</v>
      </c>
      <c r="AB26" s="22" t="s">
        <v>40</v>
      </c>
      <c r="AC26" s="22" t="s">
        <v>40</v>
      </c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1" t="s">
        <v>38</v>
      </c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13" t="n">
        <f aca="false">COUNTIF(B26:BE26,"Y")</f>
        <v>1</v>
      </c>
      <c r="BG26" s="13" t="n">
        <f aca="false">COUNTIF(B26:BE26,"P")</f>
        <v>4</v>
      </c>
      <c r="BH26" s="13" t="n">
        <f aca="false">BF26+BG26*0.5</f>
        <v>3</v>
      </c>
    </row>
    <row r="27" customFormat="false" ht="15" hidden="false" customHeight="false" outlineLevel="0" collapsed="false">
      <c r="A27" s="20" t="s">
        <v>139</v>
      </c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1" t="s">
        <v>38</v>
      </c>
      <c r="AA27" s="21" t="s">
        <v>38</v>
      </c>
      <c r="AB27" s="21" t="s">
        <v>38</v>
      </c>
      <c r="AC27" s="21" t="s">
        <v>38</v>
      </c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1" t="s">
        <v>38</v>
      </c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13" t="n">
        <f aca="false">COUNTIF(B27:BE27,"Y")</f>
        <v>5</v>
      </c>
      <c r="BG27" s="13" t="n">
        <f aca="false">COUNTIF(B27:BE27,"P")</f>
        <v>0</v>
      </c>
      <c r="BH27" s="13" t="n">
        <f aca="false">BF27+BG27*0.5</f>
        <v>5</v>
      </c>
    </row>
    <row r="28" customFormat="false" ht="15" hidden="false" customHeight="false" outlineLevel="0" collapsed="false">
      <c r="A28" s="20" t="s">
        <v>143</v>
      </c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2" t="s">
        <v>40</v>
      </c>
      <c r="AA28" s="23"/>
      <c r="AB28" s="23"/>
      <c r="AC28" s="22" t="s">
        <v>40</v>
      </c>
      <c r="AD28" s="21" t="s">
        <v>38</v>
      </c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1" t="s">
        <v>38</v>
      </c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13" t="n">
        <f aca="false">COUNTIF(B28:BE28,"Y")</f>
        <v>2</v>
      </c>
      <c r="BG28" s="13" t="n">
        <f aca="false">COUNTIF(B28:BE28,"P")</f>
        <v>2</v>
      </c>
      <c r="BH28" s="13" t="n">
        <f aca="false">BF28+BG28*0.5</f>
        <v>3</v>
      </c>
    </row>
    <row r="29" customFormat="false" ht="15" hidden="false" customHeight="false" outlineLevel="0" collapsed="false">
      <c r="A29" s="20" t="s">
        <v>147</v>
      </c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1" t="s">
        <v>38</v>
      </c>
      <c r="AP29" s="21" t="s">
        <v>38</v>
      </c>
      <c r="AQ29" s="23"/>
      <c r="AR29" s="21" t="s">
        <v>38</v>
      </c>
      <c r="AS29" s="21" t="s">
        <v>38</v>
      </c>
      <c r="AT29" s="23"/>
      <c r="AU29" s="23"/>
      <c r="AV29" s="23"/>
      <c r="AW29" s="21" t="s">
        <v>38</v>
      </c>
      <c r="AX29" s="23"/>
      <c r="AY29" s="23"/>
      <c r="AZ29" s="23"/>
      <c r="BA29" s="23"/>
      <c r="BB29" s="23"/>
      <c r="BC29" s="23"/>
      <c r="BD29" s="23"/>
      <c r="BE29" s="23"/>
      <c r="BF29" s="13" t="n">
        <f aca="false">COUNTIF(B29:BE29,"Y")</f>
        <v>5</v>
      </c>
      <c r="BG29" s="13" t="n">
        <f aca="false">COUNTIF(B29:BE29,"P")</f>
        <v>0</v>
      </c>
      <c r="BH29" s="13" t="n">
        <f aca="false">BF29+BG29*0.5</f>
        <v>5</v>
      </c>
    </row>
    <row r="30" customFormat="false" ht="15" hidden="false" customHeight="false" outlineLevel="0" collapsed="false">
      <c r="A30" s="20" t="s">
        <v>151</v>
      </c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1" t="s">
        <v>38</v>
      </c>
      <c r="AP30" s="21" t="s">
        <v>38</v>
      </c>
      <c r="AQ30" s="23"/>
      <c r="AR30" s="21" t="s">
        <v>38</v>
      </c>
      <c r="AS30" s="21" t="s">
        <v>38</v>
      </c>
      <c r="AT30" s="23"/>
      <c r="AU30" s="23"/>
      <c r="AV30" s="23"/>
      <c r="AW30" s="21" t="s">
        <v>38</v>
      </c>
      <c r="AX30" s="23"/>
      <c r="AY30" s="23"/>
      <c r="AZ30" s="23"/>
      <c r="BA30" s="23"/>
      <c r="BB30" s="23"/>
      <c r="BC30" s="23"/>
      <c r="BD30" s="23"/>
      <c r="BE30" s="23"/>
      <c r="BF30" s="13" t="n">
        <f aca="false">COUNTIF(B30:BE30,"Y")</f>
        <v>5</v>
      </c>
      <c r="BG30" s="13" t="n">
        <f aca="false">COUNTIF(B30:BE30,"P")</f>
        <v>0</v>
      </c>
      <c r="BH30" s="13" t="n">
        <f aca="false">BF30+BG30*0.5</f>
        <v>5</v>
      </c>
    </row>
    <row r="31" customFormat="false" ht="15" hidden="false" customHeight="false" outlineLevel="0" collapsed="false">
      <c r="A31" s="20" t="s">
        <v>155</v>
      </c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1" t="s">
        <v>38</v>
      </c>
      <c r="AP31" s="21" t="s">
        <v>38</v>
      </c>
      <c r="AQ31" s="23"/>
      <c r="AR31" s="23"/>
      <c r="AS31" s="23"/>
      <c r="AT31" s="23"/>
      <c r="AU31" s="23"/>
      <c r="AV31" s="23"/>
      <c r="AW31" s="21" t="s">
        <v>38</v>
      </c>
      <c r="AX31" s="23"/>
      <c r="AY31" s="23"/>
      <c r="AZ31" s="23"/>
      <c r="BA31" s="23"/>
      <c r="BB31" s="23"/>
      <c r="BC31" s="23"/>
      <c r="BD31" s="23"/>
      <c r="BE31" s="23"/>
      <c r="BF31" s="13" t="n">
        <f aca="false">COUNTIF(B31:BE31,"Y")</f>
        <v>3</v>
      </c>
      <c r="BG31" s="13" t="n">
        <f aca="false">COUNTIF(B31:BE31,"P")</f>
        <v>0</v>
      </c>
      <c r="BH31" s="13" t="n">
        <f aca="false">BF31+BG31*0.5</f>
        <v>3</v>
      </c>
    </row>
    <row r="32" customFormat="false" ht="15" hidden="false" customHeight="false" outlineLevel="0" collapsed="false">
      <c r="A32" s="18" t="s">
        <v>158</v>
      </c>
      <c r="B32" s="15" t="s">
        <v>38</v>
      </c>
      <c r="C32" s="15" t="s">
        <v>38</v>
      </c>
      <c r="D32" s="15" t="s">
        <v>38</v>
      </c>
      <c r="E32" s="15" t="s">
        <v>38</v>
      </c>
      <c r="F32" s="15" t="s">
        <v>38</v>
      </c>
      <c r="G32" s="15" t="s">
        <v>38</v>
      </c>
      <c r="H32" s="15" t="s">
        <v>38</v>
      </c>
      <c r="I32" s="15" t="s">
        <v>38</v>
      </c>
      <c r="J32" s="15" t="s">
        <v>38</v>
      </c>
      <c r="K32" s="15" t="s">
        <v>38</v>
      </c>
      <c r="L32" s="15" t="s">
        <v>38</v>
      </c>
      <c r="M32" s="15" t="s">
        <v>38</v>
      </c>
      <c r="N32" s="15" t="s">
        <v>38</v>
      </c>
      <c r="O32" s="15" t="s">
        <v>38</v>
      </c>
      <c r="P32" s="15" t="s">
        <v>38</v>
      </c>
      <c r="Q32" s="15" t="s">
        <v>38</v>
      </c>
      <c r="R32" s="15" t="s">
        <v>38</v>
      </c>
      <c r="S32" s="15" t="s">
        <v>38</v>
      </c>
      <c r="T32" s="15" t="s">
        <v>38</v>
      </c>
      <c r="U32" s="15" t="s">
        <v>38</v>
      </c>
      <c r="V32" s="15" t="s">
        <v>38</v>
      </c>
      <c r="W32" s="15" t="s">
        <v>40</v>
      </c>
      <c r="X32" s="15" t="s">
        <v>38</v>
      </c>
      <c r="Y32" s="15" t="s">
        <v>38</v>
      </c>
      <c r="Z32" s="15" t="s">
        <v>40</v>
      </c>
      <c r="AA32" s="15" t="s">
        <v>40</v>
      </c>
      <c r="AB32" s="15" t="s">
        <v>40</v>
      </c>
      <c r="AC32" s="15" t="s">
        <v>38</v>
      </c>
      <c r="AD32" s="15" t="s">
        <v>38</v>
      </c>
      <c r="AE32" s="15" t="s">
        <v>38</v>
      </c>
      <c r="AF32" s="15" t="s">
        <v>38</v>
      </c>
      <c r="AG32" s="15" t="s">
        <v>38</v>
      </c>
      <c r="AH32" s="15" t="s">
        <v>38</v>
      </c>
      <c r="AI32" s="15" t="s">
        <v>38</v>
      </c>
      <c r="AJ32" s="15" t="s">
        <v>38</v>
      </c>
      <c r="AK32" s="15" t="s">
        <v>38</v>
      </c>
      <c r="AL32" s="15" t="s">
        <v>38</v>
      </c>
      <c r="AM32" s="15" t="s">
        <v>38</v>
      </c>
      <c r="AN32" s="15" t="s">
        <v>40</v>
      </c>
      <c r="AO32" s="15" t="s">
        <v>38</v>
      </c>
      <c r="AP32" s="15" t="s">
        <v>38</v>
      </c>
      <c r="AQ32" s="15" t="s">
        <v>38</v>
      </c>
      <c r="AR32" s="15" t="s">
        <v>38</v>
      </c>
      <c r="AS32" s="15" t="s">
        <v>38</v>
      </c>
      <c r="AT32" s="15" t="s">
        <v>38</v>
      </c>
      <c r="AU32" s="15" t="s">
        <v>40</v>
      </c>
      <c r="AV32" s="15" t="s">
        <v>38</v>
      </c>
      <c r="AW32" s="15"/>
      <c r="AX32" s="15" t="s">
        <v>38</v>
      </c>
      <c r="AY32" s="15" t="s">
        <v>38</v>
      </c>
      <c r="AZ32" s="15" t="s">
        <v>38</v>
      </c>
      <c r="BA32" s="15" t="s">
        <v>38</v>
      </c>
      <c r="BB32" s="15" t="s">
        <v>38</v>
      </c>
      <c r="BC32" s="15" t="s">
        <v>38</v>
      </c>
      <c r="BD32" s="15" t="s">
        <v>38</v>
      </c>
      <c r="BE32" s="15" t="s">
        <v>38</v>
      </c>
      <c r="BF32" s="13" t="n">
        <f aca="false">COUNTIF(B32:BE32,"Y")</f>
        <v>49</v>
      </c>
      <c r="BG32" s="13" t="n">
        <f aca="false">COUNTIF(B32:BE32,"P")</f>
        <v>6</v>
      </c>
      <c r="BH32" s="13" t="n">
        <f aca="false">BF32+BG32*0.5</f>
        <v>52</v>
      </c>
    </row>
    <row r="33" customFormat="false" ht="15" hidden="false" customHeight="false" outlineLevel="0" collapsed="false">
      <c r="A33" s="24" t="s">
        <v>231</v>
      </c>
      <c r="B33" s="25" t="n">
        <f aca="false">COUNTIF(B3:B31,"Y")+COUNTIF(B3:B31,"P")*0.5</f>
        <v>5</v>
      </c>
      <c r="C33" s="25" t="n">
        <f aca="false">COUNTIF(C3:C31,"Y")+COUNTIF(C3:C31,"P")*0.5</f>
        <v>5</v>
      </c>
      <c r="D33" s="25" t="n">
        <f aca="false">COUNTIF(D3:D31,"Y")+COUNTIF(D3:D31,"P")*0.5</f>
        <v>4</v>
      </c>
      <c r="E33" s="25" t="n">
        <f aca="false">COUNTIF(E3:E31,"Y")+COUNTIF(E3:E31,"P")*0.5</f>
        <v>4</v>
      </c>
      <c r="F33" s="25" t="n">
        <f aca="false">COUNTIF(F3:F31,"Y")+COUNTIF(F3:F31,"P")*0.5</f>
        <v>4</v>
      </c>
      <c r="G33" s="25" t="n">
        <f aca="false">COUNTIF(G3:G31,"Y")+COUNTIF(G3:G31,"P")*0.5</f>
        <v>4</v>
      </c>
      <c r="H33" s="25" t="n">
        <f aca="false">COUNTIF(H3:H31,"Y")+COUNTIF(H3:H31,"P")*0.5</f>
        <v>3</v>
      </c>
      <c r="I33" s="25" t="n">
        <f aca="false">COUNTIF(I3:I31,"Y")+COUNTIF(I3:I31,"P")*0.5</f>
        <v>0.5</v>
      </c>
      <c r="J33" s="25" t="n">
        <f aca="false">COUNTIF(J3:J31,"Y")+COUNTIF(J3:J31,"P")*0.5</f>
        <v>1</v>
      </c>
      <c r="K33" s="25" t="n">
        <f aca="false">COUNTIF(K3:K31,"Y")+COUNTIF(K3:K31,"P")*0.5</f>
        <v>3</v>
      </c>
      <c r="L33" s="25" t="n">
        <f aca="false">COUNTIF(L3:L31,"Y")+COUNTIF(L3:L31,"P")*0.5</f>
        <v>0.5</v>
      </c>
      <c r="M33" s="25" t="n">
        <f aca="false">COUNTIF(M3:M31,"Y")+COUNTIF(M3:M31,"P")*0.5</f>
        <v>0</v>
      </c>
      <c r="N33" s="25" t="n">
        <f aca="false">COUNTIF(N3:N31,"Y")+COUNTIF(N3:N31,"P")*0.5</f>
        <v>0.5</v>
      </c>
      <c r="O33" s="25" t="n">
        <f aca="false">COUNTIF(O3:O31,"Y")+COUNTIF(O3:O31,"P")*0.5</f>
        <v>5</v>
      </c>
      <c r="P33" s="25" t="n">
        <f aca="false">COUNTIF(P3:P31,"Y")+COUNTIF(P3:P31,"P")*0.5</f>
        <v>1</v>
      </c>
      <c r="Q33" s="25" t="n">
        <f aca="false">COUNTIF(Q3:Q31,"Y")+COUNTIF(Q3:Q31,"P")*0.5</f>
        <v>1.5</v>
      </c>
      <c r="R33" s="25" t="n">
        <f aca="false">COUNTIF(R3:R31,"Y")+COUNTIF(R3:R31,"P")*0.5</f>
        <v>1</v>
      </c>
      <c r="S33" s="25" t="n">
        <f aca="false">COUNTIF(S3:S31,"Y")+COUNTIF(S3:S31,"P")*0.5</f>
        <v>5</v>
      </c>
      <c r="T33" s="25" t="n">
        <f aca="false">COUNTIF(T3:T31,"Y")+COUNTIF(T3:T31,"P")*0.5</f>
        <v>3</v>
      </c>
      <c r="U33" s="25" t="n">
        <f aca="false">COUNTIF(U3:U31,"Y")+COUNTIF(U3:U31,"P")*0.5</f>
        <v>3.5</v>
      </c>
      <c r="V33" s="25" t="n">
        <f aca="false">COUNTIF(V3:V31,"Y")+COUNTIF(V3:V31,"P")*0.5</f>
        <v>2</v>
      </c>
      <c r="W33" s="25" t="n">
        <f aca="false">COUNTIF(W3:W31,"Y")+COUNTIF(W3:W31,"P")*0.5</f>
        <v>2.5</v>
      </c>
      <c r="X33" s="25" t="n">
        <f aca="false">COUNTIF(X3:X31,"Y")+COUNTIF(X3:X31,"P")*0.5</f>
        <v>3</v>
      </c>
      <c r="Y33" s="25" t="n">
        <f aca="false">COUNTIF(Y3:Y31,"Y")+COUNTIF(Y3:Y31,"P")*0.5</f>
        <v>6</v>
      </c>
      <c r="Z33" s="25" t="n">
        <f aca="false">COUNTIF(Z3:Z31,"Y")+COUNTIF(Z3:Z31,"P")*0.5</f>
        <v>3.5</v>
      </c>
      <c r="AA33" s="25" t="n">
        <f aca="false">COUNTIF(AA3:AA31,"Y")+COUNTIF(AA3:AA31,"P")*0.5</f>
        <v>2.5</v>
      </c>
      <c r="AB33" s="25" t="n">
        <f aca="false">COUNTIF(AB3:AB31,"Y")+COUNTIF(AB3:AB31,"P")*0.5</f>
        <v>2.5</v>
      </c>
      <c r="AC33" s="25" t="n">
        <f aca="false">COUNTIF(AC3:AC31,"Y")+COUNTIF(AC3:AC31,"P")*0.5</f>
        <v>5</v>
      </c>
      <c r="AD33" s="25" t="n">
        <f aca="false">COUNTIF(AD3:AD31,"Y")+COUNTIF(AD3:AD31,"P")*0.5</f>
        <v>3</v>
      </c>
      <c r="AE33" s="25" t="n">
        <f aca="false">COUNTIF(AE3:AE31,"Y")+COUNTIF(AE3:AE31,"P")*0.5</f>
        <v>4</v>
      </c>
      <c r="AF33" s="25" t="n">
        <f aca="false">COUNTIF(AF3:AF31,"Y")+COUNTIF(AF3:AF31,"P")*0.5</f>
        <v>4.5</v>
      </c>
      <c r="AG33" s="25" t="n">
        <f aca="false">COUNTIF(AG3:AG31,"Y")+COUNTIF(AG3:AG31,"P")*0.5</f>
        <v>3</v>
      </c>
      <c r="AH33" s="25" t="n">
        <f aca="false">COUNTIF(AH3:AH31,"Y")+COUNTIF(AH3:AH31,"P")*0.5</f>
        <v>6.5</v>
      </c>
      <c r="AI33" s="25" t="n">
        <f aca="false">COUNTIF(AI3:AI31,"Y")+COUNTIF(AI3:AI31,"P")*0.5</f>
        <v>1.5</v>
      </c>
      <c r="AJ33" s="25" t="n">
        <f aca="false">COUNTIF(AJ3:AJ31,"Y")+COUNTIF(AJ3:AJ31,"P")*0.5</f>
        <v>0</v>
      </c>
      <c r="AK33" s="25" t="n">
        <f aca="false">COUNTIF(AK3:AK31,"Y")+COUNTIF(AK3:AK31,"P")*0.5</f>
        <v>0</v>
      </c>
      <c r="AL33" s="25" t="n">
        <f aca="false">COUNTIF(AL3:AL31,"Y")+COUNTIF(AL3:AL31,"P")*0.5</f>
        <v>0</v>
      </c>
      <c r="AM33" s="25" t="n">
        <f aca="false">COUNTIF(AM3:AM31,"Y")+COUNTIF(AM3:AM31,"P")*0.5</f>
        <v>0</v>
      </c>
      <c r="AN33" s="25" t="n">
        <f aca="false">COUNTIF(AN3:AN31,"Y")+COUNTIF(AN3:AN31,"P")*0.5</f>
        <v>0</v>
      </c>
      <c r="AO33" s="25" t="n">
        <f aca="false">COUNTIF(AO3:AO31,"Y")+COUNTIF(AO3:AO31,"P")*0.5</f>
        <v>3</v>
      </c>
      <c r="AP33" s="25" t="n">
        <f aca="false">COUNTIF(AP3:AP31,"Y")+COUNTIF(AP3:AP31,"P")*0.5</f>
        <v>3</v>
      </c>
      <c r="AQ33" s="25" t="n">
        <f aca="false">COUNTIF(AQ3:AQ31,"Y")+COUNTIF(AQ3:AQ31,"P")*0.5</f>
        <v>0</v>
      </c>
      <c r="AR33" s="25" t="n">
        <f aca="false">COUNTIF(AR3:AR31,"Y")+COUNTIF(AR3:AR31,"P")*0.5</f>
        <v>2</v>
      </c>
      <c r="AS33" s="25" t="n">
        <f aca="false">COUNTIF(AS3:AS31,"Y")+COUNTIF(AS3:AS31,"P")*0.5</f>
        <v>26</v>
      </c>
      <c r="AT33" s="25" t="n">
        <f aca="false">COUNTIF(AT3:AT31,"Y")+COUNTIF(AT3:AT31,"P")*0.5</f>
        <v>2</v>
      </c>
      <c r="AU33" s="25" t="n">
        <f aca="false">COUNTIF(AU3:AU31,"Y")+COUNTIF(AU3:AU31,"P")*0.5</f>
        <v>2</v>
      </c>
      <c r="AV33" s="25" t="n">
        <f aca="false">COUNTIF(AV3:AV31,"Y")+COUNTIF(AV3:AV31,"P")*0.5</f>
        <v>0</v>
      </c>
      <c r="AW33" s="25" t="n">
        <f aca="false">COUNTIF(AW3:AW31,"Y")+COUNTIF(AW3:AW31,"P")*0.5</f>
        <v>7.5</v>
      </c>
      <c r="AX33" s="25" t="n">
        <f aca="false">COUNTIF(AX3:AX31,"Y")+COUNTIF(AX3:AX31,"P")*0.5</f>
        <v>0.5</v>
      </c>
      <c r="AY33" s="25" t="n">
        <f aca="false">COUNTIF(AY3:AY31,"Y")+COUNTIF(AY3:AY31,"P")*0.5</f>
        <v>0</v>
      </c>
      <c r="AZ33" s="25" t="n">
        <f aca="false">COUNTIF(AZ3:AZ31,"Y")+COUNTIF(AZ3:AZ31,"P")*0.5</f>
        <v>0</v>
      </c>
      <c r="BA33" s="25" t="n">
        <f aca="false">COUNTIF(BA3:BA31,"Y")+COUNTIF(BA3:BA31,"P")*0.5</f>
        <v>0</v>
      </c>
      <c r="BB33" s="25" t="n">
        <f aca="false">COUNTIF(BB3:BB31,"Y")+COUNTIF(BB3:BB31,"P")*0.5</f>
        <v>0</v>
      </c>
      <c r="BC33" s="25" t="n">
        <f aca="false">COUNTIF(BC3:BC31,"Y")+COUNTIF(BC3:BC31,"P")*0.5</f>
        <v>0</v>
      </c>
      <c r="BD33" s="25" t="n">
        <f aca="false">COUNTIF(BD3:BD31,"Y")+COUNTIF(BD3:BD31,"P")*0.5</f>
        <v>0</v>
      </c>
      <c r="BE33" s="25" t="n">
        <f aca="false">COUNTIF(BE3:BE31,"Y")+COUNTIF(BE3:BE31,"P")*0.5</f>
        <v>0</v>
      </c>
    </row>
  </sheetData>
  <mergeCells count="11">
    <mergeCell ref="A1:A2"/>
    <mergeCell ref="B1:I1"/>
    <mergeCell ref="J1:N1"/>
    <mergeCell ref="O1:S1"/>
    <mergeCell ref="T1:Y1"/>
    <mergeCell ref="Z1:AD1"/>
    <mergeCell ref="AE1:AI1"/>
    <mergeCell ref="AJ1:AN1"/>
    <mergeCell ref="AO1:AR1"/>
    <mergeCell ref="AS1:AY1"/>
    <mergeCell ref="AZ1:B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6"/>
    <col collapsed="false" customWidth="true" hidden="false" outlineLevel="0" max="3" min="3" style="0" width="42"/>
    <col collapsed="false" customWidth="true" hidden="false" outlineLevel="0" max="4" min="4" style="0" width="22"/>
    <col collapsed="false" customWidth="true" hidden="false" outlineLevel="0" max="5" min="5" style="0" width="32"/>
  </cols>
  <sheetData>
    <row r="1" customFormat="false" ht="27.75" hidden="false" customHeight="true" outlineLevel="0" collapsed="false">
      <c r="A1" s="16" t="s">
        <v>53</v>
      </c>
      <c r="B1" s="16" t="s">
        <v>232</v>
      </c>
      <c r="C1" s="16" t="s">
        <v>233</v>
      </c>
      <c r="D1" s="16" t="s">
        <v>234</v>
      </c>
      <c r="E1" s="16" t="s">
        <v>235</v>
      </c>
    </row>
    <row r="2" customFormat="false" ht="15" hidden="false" customHeight="false" outlineLevel="0" collapsed="false">
      <c r="A2" s="17" t="s">
        <v>58</v>
      </c>
      <c r="B2" s="17" t="s">
        <v>236</v>
      </c>
      <c r="C2" s="17" t="s">
        <v>237</v>
      </c>
      <c r="D2" s="17" t="s">
        <v>238</v>
      </c>
      <c r="E2" s="17" t="s">
        <v>239</v>
      </c>
    </row>
    <row r="3" customFormat="false" ht="15" hidden="false" customHeight="false" outlineLevel="0" collapsed="false">
      <c r="A3" s="17" t="s">
        <v>62</v>
      </c>
      <c r="B3" s="17" t="s">
        <v>236</v>
      </c>
      <c r="C3" s="17" t="s">
        <v>240</v>
      </c>
      <c r="D3" s="17" t="s">
        <v>241</v>
      </c>
      <c r="E3" s="17" t="s">
        <v>242</v>
      </c>
    </row>
    <row r="4" customFormat="false" ht="15" hidden="false" customHeight="false" outlineLevel="0" collapsed="false">
      <c r="A4" s="17" t="s">
        <v>66</v>
      </c>
      <c r="B4" s="17" t="s">
        <v>236</v>
      </c>
      <c r="C4" s="17" t="s">
        <v>240</v>
      </c>
      <c r="D4" s="17" t="s">
        <v>243</v>
      </c>
      <c r="E4" s="17" t="s">
        <v>242</v>
      </c>
    </row>
    <row r="5" customFormat="false" ht="15" hidden="false" customHeight="false" outlineLevel="0" collapsed="false">
      <c r="A5" s="17" t="s">
        <v>69</v>
      </c>
      <c r="B5" s="17" t="s">
        <v>236</v>
      </c>
      <c r="C5" s="17" t="s">
        <v>244</v>
      </c>
      <c r="D5" s="17" t="s">
        <v>245</v>
      </c>
      <c r="E5" s="17" t="s">
        <v>246</v>
      </c>
    </row>
    <row r="6" customFormat="false" ht="15" hidden="false" customHeight="false" outlineLevel="0" collapsed="false">
      <c r="A6" s="17" t="s">
        <v>72</v>
      </c>
      <c r="B6" s="17" t="s">
        <v>247</v>
      </c>
      <c r="C6" s="17" t="s">
        <v>248</v>
      </c>
      <c r="D6" s="17" t="s">
        <v>249</v>
      </c>
      <c r="E6" s="17" t="s">
        <v>239</v>
      </c>
    </row>
    <row r="7" customFormat="false" ht="15" hidden="false" customHeight="false" outlineLevel="0" collapsed="false">
      <c r="A7" s="17" t="s">
        <v>76</v>
      </c>
      <c r="B7" s="17" t="s">
        <v>250</v>
      </c>
      <c r="C7" s="17" t="s">
        <v>251</v>
      </c>
      <c r="D7" s="17" t="s">
        <v>241</v>
      </c>
      <c r="E7" s="17" t="s">
        <v>252</v>
      </c>
    </row>
    <row r="8" customFormat="false" ht="15" hidden="false" customHeight="false" outlineLevel="0" collapsed="false">
      <c r="A8" s="17" t="s">
        <v>79</v>
      </c>
      <c r="B8" s="17" t="s">
        <v>236</v>
      </c>
      <c r="C8" s="17" t="s">
        <v>240</v>
      </c>
      <c r="D8" s="17" t="s">
        <v>241</v>
      </c>
      <c r="E8" s="17" t="s">
        <v>242</v>
      </c>
    </row>
    <row r="9" customFormat="false" ht="15" hidden="false" customHeight="false" outlineLevel="0" collapsed="false">
      <c r="A9" s="17" t="s">
        <v>82</v>
      </c>
      <c r="B9" s="17" t="s">
        <v>236</v>
      </c>
      <c r="C9" s="17" t="s">
        <v>240</v>
      </c>
      <c r="D9" s="17" t="s">
        <v>241</v>
      </c>
      <c r="E9" s="17" t="s">
        <v>242</v>
      </c>
    </row>
    <row r="10" customFormat="false" ht="15" hidden="false" customHeight="false" outlineLevel="0" collapsed="false">
      <c r="A10" s="17" t="s">
        <v>85</v>
      </c>
      <c r="B10" s="17" t="s">
        <v>253</v>
      </c>
      <c r="C10" s="17" t="s">
        <v>254</v>
      </c>
      <c r="D10" s="17" t="s">
        <v>245</v>
      </c>
      <c r="E10" s="17" t="s">
        <v>246</v>
      </c>
    </row>
    <row r="11" customFormat="false" ht="15" hidden="false" customHeight="false" outlineLevel="0" collapsed="false">
      <c r="A11" s="17" t="s">
        <v>88</v>
      </c>
      <c r="B11" s="17" t="s">
        <v>253</v>
      </c>
      <c r="C11" s="17" t="s">
        <v>254</v>
      </c>
      <c r="D11" s="17" t="s">
        <v>245</v>
      </c>
      <c r="E11" s="17" t="s">
        <v>246</v>
      </c>
    </row>
    <row r="12" customFormat="false" ht="15" hidden="false" customHeight="false" outlineLevel="0" collapsed="false">
      <c r="A12" s="17" t="s">
        <v>91</v>
      </c>
      <c r="B12" s="17" t="s">
        <v>253</v>
      </c>
      <c r="C12" s="17" t="s">
        <v>255</v>
      </c>
      <c r="D12" s="17" t="s">
        <v>245</v>
      </c>
      <c r="E12" s="17" t="s">
        <v>246</v>
      </c>
    </row>
    <row r="13" customFormat="false" ht="15" hidden="false" customHeight="false" outlineLevel="0" collapsed="false">
      <c r="A13" s="17" t="s">
        <v>94</v>
      </c>
      <c r="B13" s="17" t="s">
        <v>247</v>
      </c>
      <c r="C13" s="17" t="s">
        <v>256</v>
      </c>
      <c r="D13" s="17" t="s">
        <v>257</v>
      </c>
      <c r="E13" s="17" t="s">
        <v>239</v>
      </c>
    </row>
    <row r="14" customFormat="false" ht="15" hidden="false" customHeight="false" outlineLevel="0" collapsed="false">
      <c r="A14" s="17" t="s">
        <v>97</v>
      </c>
      <c r="B14" s="17" t="s">
        <v>236</v>
      </c>
      <c r="C14" s="17" t="s">
        <v>258</v>
      </c>
      <c r="D14" s="17" t="s">
        <v>245</v>
      </c>
      <c r="E14" s="17" t="s">
        <v>242</v>
      </c>
    </row>
    <row r="15" customFormat="false" ht="15" hidden="false" customHeight="false" outlineLevel="0" collapsed="false">
      <c r="A15" s="17" t="s">
        <v>100</v>
      </c>
      <c r="B15" s="17" t="s">
        <v>236</v>
      </c>
      <c r="C15" s="17" t="s">
        <v>258</v>
      </c>
      <c r="D15" s="17" t="s">
        <v>245</v>
      </c>
      <c r="E15" s="17" t="s">
        <v>242</v>
      </c>
    </row>
    <row r="16" customFormat="false" ht="15" hidden="false" customHeight="false" outlineLevel="0" collapsed="false">
      <c r="A16" s="17" t="s">
        <v>103</v>
      </c>
      <c r="B16" s="17" t="s">
        <v>236</v>
      </c>
      <c r="C16" s="17" t="s">
        <v>258</v>
      </c>
      <c r="D16" s="17" t="s">
        <v>245</v>
      </c>
      <c r="E16" s="17" t="s">
        <v>242</v>
      </c>
    </row>
    <row r="17" customFormat="false" ht="15" hidden="false" customHeight="false" outlineLevel="0" collapsed="false">
      <c r="A17" s="17" t="s">
        <v>106</v>
      </c>
      <c r="B17" s="17" t="s">
        <v>236</v>
      </c>
      <c r="C17" s="17" t="s">
        <v>258</v>
      </c>
      <c r="D17" s="17" t="s">
        <v>245</v>
      </c>
      <c r="E17" s="17" t="s">
        <v>242</v>
      </c>
    </row>
    <row r="18" customFormat="false" ht="15" hidden="false" customHeight="false" outlineLevel="0" collapsed="false">
      <c r="A18" s="17" t="s">
        <v>109</v>
      </c>
      <c r="B18" s="17" t="s">
        <v>259</v>
      </c>
      <c r="C18" s="17" t="s">
        <v>260</v>
      </c>
      <c r="D18" s="17" t="s">
        <v>238</v>
      </c>
      <c r="E18" s="17" t="s">
        <v>261</v>
      </c>
    </row>
    <row r="19" customFormat="false" ht="15" hidden="false" customHeight="false" outlineLevel="0" collapsed="false">
      <c r="A19" s="17" t="s">
        <v>113</v>
      </c>
      <c r="B19" s="17" t="s">
        <v>236</v>
      </c>
      <c r="C19" s="17" t="s">
        <v>262</v>
      </c>
      <c r="D19" s="17" t="s">
        <v>238</v>
      </c>
      <c r="E19" s="17" t="s">
        <v>261</v>
      </c>
    </row>
    <row r="20" customFormat="false" ht="15" hidden="false" customHeight="false" outlineLevel="0" collapsed="false">
      <c r="A20" s="17" t="s">
        <v>117</v>
      </c>
      <c r="B20" s="17" t="s">
        <v>263</v>
      </c>
      <c r="C20" s="17" t="s">
        <v>264</v>
      </c>
      <c r="D20" s="17" t="s">
        <v>241</v>
      </c>
      <c r="E20" s="17" t="s">
        <v>264</v>
      </c>
    </row>
    <row r="21" customFormat="false" ht="15" hidden="false" customHeight="false" outlineLevel="0" collapsed="false">
      <c r="A21" s="17" t="s">
        <v>121</v>
      </c>
      <c r="B21" s="17" t="s">
        <v>236</v>
      </c>
      <c r="C21" s="17" t="s">
        <v>265</v>
      </c>
      <c r="D21" s="17" t="s">
        <v>238</v>
      </c>
      <c r="E21" s="17" t="s">
        <v>261</v>
      </c>
    </row>
    <row r="22" customFormat="false" ht="15" hidden="false" customHeight="false" outlineLevel="0" collapsed="false">
      <c r="A22" s="17" t="s">
        <v>125</v>
      </c>
      <c r="B22" s="17" t="s">
        <v>266</v>
      </c>
      <c r="C22" s="17" t="s">
        <v>267</v>
      </c>
      <c r="D22" s="17" t="s">
        <v>268</v>
      </c>
      <c r="E22" s="17" t="s">
        <v>128</v>
      </c>
    </row>
    <row r="23" customFormat="false" ht="15" hidden="false" customHeight="false" outlineLevel="0" collapsed="false">
      <c r="A23" s="17" t="s">
        <v>129</v>
      </c>
      <c r="B23" s="17" t="s">
        <v>236</v>
      </c>
      <c r="C23" s="17" t="s">
        <v>269</v>
      </c>
      <c r="D23" s="17" t="s">
        <v>249</v>
      </c>
      <c r="E23" s="17" t="s">
        <v>270</v>
      </c>
    </row>
    <row r="24" customFormat="false" ht="15" hidden="false" customHeight="false" outlineLevel="0" collapsed="false">
      <c r="A24" s="17" t="s">
        <v>132</v>
      </c>
      <c r="B24" s="17" t="s">
        <v>236</v>
      </c>
      <c r="C24" s="17" t="s">
        <v>271</v>
      </c>
      <c r="D24" s="17" t="s">
        <v>241</v>
      </c>
      <c r="E24" s="17" t="s">
        <v>242</v>
      </c>
    </row>
    <row r="25" customFormat="false" ht="15" hidden="false" customHeight="false" outlineLevel="0" collapsed="false">
      <c r="A25" s="17" t="s">
        <v>135</v>
      </c>
      <c r="B25" s="17" t="s">
        <v>272</v>
      </c>
      <c r="C25" s="17" t="s">
        <v>273</v>
      </c>
      <c r="D25" s="17" t="s">
        <v>274</v>
      </c>
      <c r="E25" s="17" t="s">
        <v>275</v>
      </c>
    </row>
    <row r="26" customFormat="false" ht="15" hidden="false" customHeight="false" outlineLevel="0" collapsed="false">
      <c r="A26" s="17" t="s">
        <v>139</v>
      </c>
      <c r="B26" s="17" t="s">
        <v>272</v>
      </c>
      <c r="C26" s="17" t="s">
        <v>276</v>
      </c>
      <c r="D26" s="17" t="s">
        <v>277</v>
      </c>
      <c r="E26" s="17" t="s">
        <v>278</v>
      </c>
    </row>
    <row r="27" customFormat="false" ht="15" hidden="false" customHeight="false" outlineLevel="0" collapsed="false">
      <c r="A27" s="17" t="s">
        <v>143</v>
      </c>
      <c r="B27" s="17" t="s">
        <v>279</v>
      </c>
      <c r="C27" s="17" t="s">
        <v>280</v>
      </c>
      <c r="D27" s="17" t="s">
        <v>245</v>
      </c>
      <c r="E27" s="17" t="s">
        <v>246</v>
      </c>
    </row>
    <row r="28" customFormat="false" ht="15" hidden="false" customHeight="false" outlineLevel="0" collapsed="false">
      <c r="A28" s="17" t="s">
        <v>147</v>
      </c>
      <c r="B28" s="17" t="s">
        <v>247</v>
      </c>
      <c r="C28" s="17" t="s">
        <v>281</v>
      </c>
      <c r="D28" s="17" t="s">
        <v>238</v>
      </c>
      <c r="E28" s="17" t="s">
        <v>239</v>
      </c>
    </row>
    <row r="29" customFormat="false" ht="15" hidden="false" customHeight="false" outlineLevel="0" collapsed="false">
      <c r="A29" s="17" t="s">
        <v>151</v>
      </c>
      <c r="B29" s="17" t="s">
        <v>247</v>
      </c>
      <c r="C29" s="17" t="s">
        <v>281</v>
      </c>
      <c r="D29" s="17" t="s">
        <v>241</v>
      </c>
      <c r="E29" s="17" t="s">
        <v>239</v>
      </c>
    </row>
    <row r="30" customFormat="false" ht="15" hidden="false" customHeight="false" outlineLevel="0" collapsed="false">
      <c r="A30" s="17" t="s">
        <v>155</v>
      </c>
      <c r="B30" s="17" t="s">
        <v>282</v>
      </c>
      <c r="C30" s="17" t="s">
        <v>283</v>
      </c>
      <c r="D30" s="17" t="s">
        <v>268</v>
      </c>
      <c r="E30" s="17" t="s">
        <v>128</v>
      </c>
    </row>
    <row r="31" customFormat="false" ht="23.85" hidden="false" customHeight="false" outlineLevel="0" collapsed="false">
      <c r="A31" s="18" t="s">
        <v>158</v>
      </c>
      <c r="B31" s="18" t="s">
        <v>284</v>
      </c>
      <c r="C31" s="18" t="s">
        <v>285</v>
      </c>
      <c r="D31" s="18" t="s">
        <v>286</v>
      </c>
      <c r="E31" s="18" t="s">
        <v>287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8" min="2" style="0" width="16"/>
  </cols>
  <sheetData>
    <row r="1" customFormat="false" ht="39.75" hidden="false" customHeight="true" outlineLevel="0" collapsed="false">
      <c r="A1" s="16" t="s">
        <v>53</v>
      </c>
      <c r="B1" s="16" t="s">
        <v>288</v>
      </c>
      <c r="C1" s="16" t="s">
        <v>289</v>
      </c>
      <c r="D1" s="16" t="s">
        <v>290</v>
      </c>
      <c r="E1" s="16" t="s">
        <v>291</v>
      </c>
      <c r="F1" s="16" t="s">
        <v>292</v>
      </c>
      <c r="G1" s="16" t="s">
        <v>293</v>
      </c>
      <c r="H1" s="16" t="s">
        <v>294</v>
      </c>
    </row>
    <row r="2" customFormat="false" ht="15" hidden="false" customHeight="false" outlineLevel="0" collapsed="false">
      <c r="A2" s="20" t="s">
        <v>58</v>
      </c>
      <c r="B2" s="21" t="s">
        <v>38</v>
      </c>
      <c r="C2" s="21" t="s">
        <v>38</v>
      </c>
      <c r="D2" s="21" t="s">
        <v>38</v>
      </c>
      <c r="E2" s="21" t="s">
        <v>38</v>
      </c>
      <c r="F2" s="21" t="s">
        <v>38</v>
      </c>
      <c r="G2" s="21" t="s">
        <v>38</v>
      </c>
      <c r="H2" s="13" t="n">
        <f aca="false">COUNTIF(B2:G2,"Y")+COUNTIF(B2:G2,"P")*0.5</f>
        <v>6</v>
      </c>
    </row>
    <row r="3" customFormat="false" ht="15" hidden="false" customHeight="false" outlineLevel="0" collapsed="false">
      <c r="A3" s="20" t="s">
        <v>62</v>
      </c>
      <c r="B3" s="21" t="s">
        <v>38</v>
      </c>
      <c r="C3" s="22" t="s">
        <v>40</v>
      </c>
      <c r="D3" s="23"/>
      <c r="E3" s="22" t="s">
        <v>40</v>
      </c>
      <c r="F3" s="23"/>
      <c r="G3" s="23"/>
      <c r="H3" s="13" t="n">
        <f aca="false">COUNTIF(B3:G3,"Y")+COUNTIF(B3:G3,"P")*0.5</f>
        <v>2</v>
      </c>
    </row>
    <row r="4" customFormat="false" ht="15" hidden="false" customHeight="false" outlineLevel="0" collapsed="false">
      <c r="A4" s="20" t="s">
        <v>66</v>
      </c>
      <c r="B4" s="21" t="s">
        <v>38</v>
      </c>
      <c r="C4" s="23"/>
      <c r="D4" s="23"/>
      <c r="E4" s="23"/>
      <c r="F4" s="23"/>
      <c r="G4" s="23"/>
      <c r="H4" s="13" t="n">
        <f aca="false">COUNTIF(B4:G4,"Y")+COUNTIF(B4:G4,"P")*0.5</f>
        <v>1</v>
      </c>
    </row>
    <row r="5" customFormat="false" ht="15" hidden="false" customHeight="false" outlineLevel="0" collapsed="false">
      <c r="A5" s="20" t="s">
        <v>69</v>
      </c>
      <c r="B5" s="21" t="s">
        <v>38</v>
      </c>
      <c r="C5" s="23"/>
      <c r="D5" s="23"/>
      <c r="E5" s="23"/>
      <c r="F5" s="23"/>
      <c r="G5" s="23"/>
      <c r="H5" s="13" t="n">
        <f aca="false">COUNTIF(B5:G5,"Y")+COUNTIF(B5:G5,"P")*0.5</f>
        <v>1</v>
      </c>
    </row>
    <row r="6" customFormat="false" ht="15" hidden="false" customHeight="false" outlineLevel="0" collapsed="false">
      <c r="A6" s="20" t="s">
        <v>72</v>
      </c>
      <c r="B6" s="21" t="s">
        <v>38</v>
      </c>
      <c r="C6" s="23"/>
      <c r="D6" s="23"/>
      <c r="E6" s="22" t="s">
        <v>40</v>
      </c>
      <c r="F6" s="23"/>
      <c r="G6" s="21" t="s">
        <v>38</v>
      </c>
      <c r="H6" s="13" t="n">
        <f aca="false">COUNTIF(B6:G6,"Y")+COUNTIF(B6:G6,"P")*0.5</f>
        <v>2.5</v>
      </c>
    </row>
    <row r="7" customFormat="false" ht="15" hidden="false" customHeight="false" outlineLevel="0" collapsed="false">
      <c r="A7" s="20" t="s">
        <v>76</v>
      </c>
      <c r="B7" s="21" t="s">
        <v>38</v>
      </c>
      <c r="C7" s="21" t="s">
        <v>38</v>
      </c>
      <c r="D7" s="22" t="s">
        <v>40</v>
      </c>
      <c r="E7" s="21" t="s">
        <v>38</v>
      </c>
      <c r="F7" s="21" t="s">
        <v>38</v>
      </c>
      <c r="G7" s="21" t="s">
        <v>38</v>
      </c>
      <c r="H7" s="13" t="n">
        <f aca="false">COUNTIF(B7:G7,"Y")+COUNTIF(B7:G7,"P")*0.5</f>
        <v>5.5</v>
      </c>
    </row>
    <row r="8" customFormat="false" ht="15" hidden="false" customHeight="false" outlineLevel="0" collapsed="false">
      <c r="A8" s="20" t="s">
        <v>79</v>
      </c>
      <c r="B8" s="21" t="s">
        <v>38</v>
      </c>
      <c r="C8" s="23"/>
      <c r="D8" s="23"/>
      <c r="E8" s="23"/>
      <c r="F8" s="23"/>
      <c r="G8" s="23"/>
      <c r="H8" s="13" t="n">
        <f aca="false">COUNTIF(B8:G8,"Y")+COUNTIF(B8:G8,"P")*0.5</f>
        <v>1</v>
      </c>
    </row>
    <row r="9" customFormat="false" ht="15" hidden="false" customHeight="false" outlineLevel="0" collapsed="false">
      <c r="A9" s="20" t="s">
        <v>82</v>
      </c>
      <c r="B9" s="21" t="s">
        <v>38</v>
      </c>
      <c r="C9" s="23"/>
      <c r="D9" s="23"/>
      <c r="E9" s="23"/>
      <c r="F9" s="23"/>
      <c r="G9" s="23"/>
      <c r="H9" s="13" t="n">
        <f aca="false">COUNTIF(B9:G9,"Y")+COUNTIF(B9:G9,"P")*0.5</f>
        <v>1</v>
      </c>
    </row>
    <row r="10" customFormat="false" ht="15" hidden="false" customHeight="false" outlineLevel="0" collapsed="false">
      <c r="A10" s="20" t="s">
        <v>85</v>
      </c>
      <c r="B10" s="21" t="s">
        <v>38</v>
      </c>
      <c r="C10" s="21" t="s">
        <v>38</v>
      </c>
      <c r="D10" s="21" t="s">
        <v>38</v>
      </c>
      <c r="E10" s="21" t="s">
        <v>38</v>
      </c>
      <c r="F10" s="21" t="s">
        <v>38</v>
      </c>
      <c r="G10" s="21" t="s">
        <v>38</v>
      </c>
      <c r="H10" s="13" t="n">
        <f aca="false">COUNTIF(B10:G10,"Y")+COUNTIF(B10:G10,"P")*0.5</f>
        <v>6</v>
      </c>
    </row>
    <row r="11" customFormat="false" ht="15" hidden="false" customHeight="false" outlineLevel="0" collapsed="false">
      <c r="A11" s="20" t="s">
        <v>88</v>
      </c>
      <c r="B11" s="21" t="s">
        <v>38</v>
      </c>
      <c r="C11" s="21" t="s">
        <v>38</v>
      </c>
      <c r="D11" s="21" t="s">
        <v>38</v>
      </c>
      <c r="E11" s="21" t="s">
        <v>38</v>
      </c>
      <c r="F11" s="23"/>
      <c r="G11" s="21" t="s">
        <v>38</v>
      </c>
      <c r="H11" s="13" t="n">
        <f aca="false">COUNTIF(B11:G11,"Y")+COUNTIF(B11:G11,"P")*0.5</f>
        <v>5</v>
      </c>
    </row>
    <row r="12" customFormat="false" ht="15" hidden="false" customHeight="false" outlineLevel="0" collapsed="false">
      <c r="A12" s="20" t="s">
        <v>91</v>
      </c>
      <c r="B12" s="21" t="s">
        <v>38</v>
      </c>
      <c r="C12" s="21" t="s">
        <v>38</v>
      </c>
      <c r="D12" s="22" t="s">
        <v>40</v>
      </c>
      <c r="E12" s="21" t="s">
        <v>38</v>
      </c>
      <c r="F12" s="23"/>
      <c r="G12" s="23"/>
      <c r="H12" s="13" t="n">
        <f aca="false">COUNTIF(B12:G12,"Y")+COUNTIF(B12:G12,"P")*0.5</f>
        <v>3.5</v>
      </c>
    </row>
    <row r="13" customFormat="false" ht="15" hidden="false" customHeight="false" outlineLevel="0" collapsed="false">
      <c r="A13" s="20" t="s">
        <v>94</v>
      </c>
      <c r="B13" s="21" t="s">
        <v>38</v>
      </c>
      <c r="C13" s="21" t="s">
        <v>38</v>
      </c>
      <c r="D13" s="21" t="s">
        <v>38</v>
      </c>
      <c r="E13" s="21" t="s">
        <v>38</v>
      </c>
      <c r="F13" s="23"/>
      <c r="G13" s="21" t="s">
        <v>38</v>
      </c>
      <c r="H13" s="13" t="n">
        <f aca="false">COUNTIF(B13:G13,"Y")+COUNTIF(B13:G13,"P")*0.5</f>
        <v>5</v>
      </c>
    </row>
    <row r="14" customFormat="false" ht="15" hidden="false" customHeight="false" outlineLevel="0" collapsed="false">
      <c r="A14" s="20" t="s">
        <v>97</v>
      </c>
      <c r="B14" s="21" t="s">
        <v>38</v>
      </c>
      <c r="C14" s="22" t="s">
        <v>40</v>
      </c>
      <c r="D14" s="23"/>
      <c r="E14" s="22" t="s">
        <v>40</v>
      </c>
      <c r="F14" s="23"/>
      <c r="G14" s="23"/>
      <c r="H14" s="13" t="n">
        <f aca="false">COUNTIF(B14:G14,"Y")+COUNTIF(B14:G14,"P")*0.5</f>
        <v>2</v>
      </c>
    </row>
    <row r="15" customFormat="false" ht="15" hidden="false" customHeight="false" outlineLevel="0" collapsed="false">
      <c r="A15" s="20" t="s">
        <v>100</v>
      </c>
      <c r="B15" s="21" t="s">
        <v>38</v>
      </c>
      <c r="C15" s="23"/>
      <c r="D15" s="23"/>
      <c r="E15" s="22" t="s">
        <v>40</v>
      </c>
      <c r="F15" s="23"/>
      <c r="G15" s="23"/>
      <c r="H15" s="13" t="n">
        <f aca="false">COUNTIF(B15:G15,"Y")+COUNTIF(B15:G15,"P")*0.5</f>
        <v>1.5</v>
      </c>
    </row>
    <row r="16" customFormat="false" ht="15" hidden="false" customHeight="false" outlineLevel="0" collapsed="false">
      <c r="A16" s="20" t="s">
        <v>103</v>
      </c>
      <c r="B16" s="21" t="s">
        <v>38</v>
      </c>
      <c r="C16" s="22" t="s">
        <v>40</v>
      </c>
      <c r="D16" s="23"/>
      <c r="E16" s="22" t="s">
        <v>40</v>
      </c>
      <c r="F16" s="23"/>
      <c r="G16" s="23"/>
      <c r="H16" s="13" t="n">
        <f aca="false">COUNTIF(B16:G16,"Y")+COUNTIF(B16:G16,"P")*0.5</f>
        <v>2</v>
      </c>
    </row>
    <row r="17" customFormat="false" ht="15" hidden="false" customHeight="false" outlineLevel="0" collapsed="false">
      <c r="A17" s="20" t="s">
        <v>106</v>
      </c>
      <c r="B17" s="21" t="s">
        <v>38</v>
      </c>
      <c r="C17" s="23"/>
      <c r="D17" s="23"/>
      <c r="E17" s="22" t="s">
        <v>40</v>
      </c>
      <c r="F17" s="23"/>
      <c r="G17" s="23"/>
      <c r="H17" s="13" t="n">
        <f aca="false">COUNTIF(B17:G17,"Y")+COUNTIF(B17:G17,"P")*0.5</f>
        <v>1.5</v>
      </c>
    </row>
    <row r="18" customFormat="false" ht="15" hidden="false" customHeight="false" outlineLevel="0" collapsed="false">
      <c r="A18" s="20" t="s">
        <v>109</v>
      </c>
      <c r="B18" s="21" t="s">
        <v>38</v>
      </c>
      <c r="C18" s="21" t="s">
        <v>38</v>
      </c>
      <c r="D18" s="22" t="s">
        <v>40</v>
      </c>
      <c r="E18" s="21" t="s">
        <v>38</v>
      </c>
      <c r="F18" s="23"/>
      <c r="G18" s="21" t="s">
        <v>38</v>
      </c>
      <c r="H18" s="13" t="n">
        <f aca="false">COUNTIF(B18:G18,"Y")+COUNTIF(B18:G18,"P")*0.5</f>
        <v>4.5</v>
      </c>
    </row>
    <row r="19" customFormat="false" ht="15" hidden="false" customHeight="false" outlineLevel="0" collapsed="false">
      <c r="A19" s="20" t="s">
        <v>113</v>
      </c>
      <c r="B19" s="21" t="s">
        <v>38</v>
      </c>
      <c r="C19" s="23"/>
      <c r="D19" s="23"/>
      <c r="E19" s="23"/>
      <c r="F19" s="23"/>
      <c r="G19" s="23"/>
      <c r="H19" s="13" t="n">
        <f aca="false">COUNTIF(B19:G19,"Y")+COUNTIF(B19:G19,"P")*0.5</f>
        <v>1</v>
      </c>
    </row>
    <row r="20" customFormat="false" ht="15" hidden="false" customHeight="false" outlineLevel="0" collapsed="false">
      <c r="A20" s="20" t="s">
        <v>117</v>
      </c>
      <c r="B20" s="21" t="s">
        <v>38</v>
      </c>
      <c r="C20" s="23"/>
      <c r="D20" s="23"/>
      <c r="E20" s="23"/>
      <c r="F20" s="23"/>
      <c r="G20" s="23"/>
      <c r="H20" s="13" t="n">
        <f aca="false">COUNTIF(B20:G20,"Y")+COUNTIF(B20:G20,"P")*0.5</f>
        <v>1</v>
      </c>
    </row>
    <row r="21" customFormat="false" ht="15" hidden="false" customHeight="false" outlineLevel="0" collapsed="false">
      <c r="A21" s="20" t="s">
        <v>121</v>
      </c>
      <c r="B21" s="21" t="s">
        <v>38</v>
      </c>
      <c r="C21" s="23"/>
      <c r="D21" s="23"/>
      <c r="E21" s="22" t="s">
        <v>40</v>
      </c>
      <c r="F21" s="23"/>
      <c r="G21" s="23"/>
      <c r="H21" s="13" t="n">
        <f aca="false">COUNTIF(B21:G21,"Y")+COUNTIF(B21:G21,"P")*0.5</f>
        <v>1.5</v>
      </c>
    </row>
    <row r="22" customFormat="false" ht="15" hidden="false" customHeight="false" outlineLevel="0" collapsed="false">
      <c r="A22" s="20" t="s">
        <v>125</v>
      </c>
      <c r="B22" s="21" t="s">
        <v>38</v>
      </c>
      <c r="C22" s="21" t="s">
        <v>38</v>
      </c>
      <c r="D22" s="21" t="s">
        <v>38</v>
      </c>
      <c r="E22" s="21" t="s">
        <v>38</v>
      </c>
      <c r="F22" s="21" t="s">
        <v>38</v>
      </c>
      <c r="G22" s="21" t="s">
        <v>38</v>
      </c>
      <c r="H22" s="13" t="n">
        <f aca="false">COUNTIF(B22:G22,"Y")+COUNTIF(B22:G22,"P")*0.5</f>
        <v>6</v>
      </c>
    </row>
    <row r="23" customFormat="false" ht="15" hidden="false" customHeight="false" outlineLevel="0" collapsed="false">
      <c r="A23" s="20" t="s">
        <v>129</v>
      </c>
      <c r="B23" s="21" t="s">
        <v>38</v>
      </c>
      <c r="C23" s="23"/>
      <c r="D23" s="23"/>
      <c r="E23" s="22" t="s">
        <v>40</v>
      </c>
      <c r="F23" s="23"/>
      <c r="G23" s="23"/>
      <c r="H23" s="13" t="n">
        <f aca="false">COUNTIF(B23:G23,"Y")+COUNTIF(B23:G23,"P")*0.5</f>
        <v>1.5</v>
      </c>
    </row>
    <row r="24" customFormat="false" ht="15" hidden="false" customHeight="false" outlineLevel="0" collapsed="false">
      <c r="A24" s="20" t="s">
        <v>132</v>
      </c>
      <c r="B24" s="23"/>
      <c r="C24" s="23"/>
      <c r="D24" s="23"/>
      <c r="E24" s="23"/>
      <c r="F24" s="21" t="s">
        <v>38</v>
      </c>
      <c r="G24" s="23"/>
      <c r="H24" s="13" t="n">
        <f aca="false">COUNTIF(B24:G24,"Y")+COUNTIF(B24:G24,"P")*0.5</f>
        <v>1</v>
      </c>
    </row>
    <row r="25" customFormat="false" ht="15" hidden="false" customHeight="false" outlineLevel="0" collapsed="false">
      <c r="A25" s="20" t="s">
        <v>135</v>
      </c>
      <c r="B25" s="22" t="s">
        <v>40</v>
      </c>
      <c r="C25" s="22" t="s">
        <v>40</v>
      </c>
      <c r="D25" s="22" t="s">
        <v>40</v>
      </c>
      <c r="E25" s="22" t="s">
        <v>40</v>
      </c>
      <c r="F25" s="22" t="s">
        <v>40</v>
      </c>
      <c r="G25" s="22" t="s">
        <v>40</v>
      </c>
      <c r="H25" s="13" t="n">
        <f aca="false">COUNTIF(B25:G25,"Y")+COUNTIF(B25:G25,"P")*0.5</f>
        <v>3</v>
      </c>
    </row>
    <row r="26" customFormat="false" ht="15" hidden="false" customHeight="false" outlineLevel="0" collapsed="false">
      <c r="A26" s="20" t="s">
        <v>139</v>
      </c>
      <c r="B26" s="21" t="s">
        <v>38</v>
      </c>
      <c r="C26" s="21" t="s">
        <v>38</v>
      </c>
      <c r="D26" s="21" t="s">
        <v>38</v>
      </c>
      <c r="E26" s="21" t="s">
        <v>38</v>
      </c>
      <c r="F26" s="21" t="s">
        <v>38</v>
      </c>
      <c r="G26" s="21" t="s">
        <v>38</v>
      </c>
      <c r="H26" s="13" t="n">
        <f aca="false">COUNTIF(B26:G26,"Y")+COUNTIF(B26:G26,"P")*0.5</f>
        <v>6</v>
      </c>
    </row>
    <row r="27" customFormat="false" ht="15" hidden="false" customHeight="false" outlineLevel="0" collapsed="false">
      <c r="A27" s="20" t="s">
        <v>143</v>
      </c>
      <c r="B27" s="21" t="s">
        <v>38</v>
      </c>
      <c r="C27" s="22" t="s">
        <v>40</v>
      </c>
      <c r="D27" s="22" t="s">
        <v>40</v>
      </c>
      <c r="E27" s="22" t="s">
        <v>40</v>
      </c>
      <c r="F27" s="22" t="s">
        <v>40</v>
      </c>
      <c r="G27" s="22" t="s">
        <v>40</v>
      </c>
      <c r="H27" s="13" t="n">
        <f aca="false">COUNTIF(B27:G27,"Y")+COUNTIF(B27:G27,"P")*0.5</f>
        <v>3.5</v>
      </c>
    </row>
    <row r="28" customFormat="false" ht="15" hidden="false" customHeight="false" outlineLevel="0" collapsed="false">
      <c r="A28" s="20" t="s">
        <v>147</v>
      </c>
      <c r="B28" s="21" t="s">
        <v>38</v>
      </c>
      <c r="C28" s="21" t="s">
        <v>38</v>
      </c>
      <c r="D28" s="21" t="s">
        <v>38</v>
      </c>
      <c r="E28" s="21" t="s">
        <v>38</v>
      </c>
      <c r="F28" s="21" t="s">
        <v>38</v>
      </c>
      <c r="G28" s="21" t="s">
        <v>38</v>
      </c>
      <c r="H28" s="13" t="n">
        <f aca="false">COUNTIF(B28:G28,"Y")+COUNTIF(B28:G28,"P")*0.5</f>
        <v>6</v>
      </c>
    </row>
    <row r="29" customFormat="false" ht="15" hidden="false" customHeight="false" outlineLevel="0" collapsed="false">
      <c r="A29" s="20" t="s">
        <v>151</v>
      </c>
      <c r="B29" s="21" t="s">
        <v>38</v>
      </c>
      <c r="C29" s="21" t="s">
        <v>38</v>
      </c>
      <c r="D29" s="21" t="s">
        <v>38</v>
      </c>
      <c r="E29" s="21" t="s">
        <v>38</v>
      </c>
      <c r="F29" s="23"/>
      <c r="G29" s="21" t="s">
        <v>38</v>
      </c>
      <c r="H29" s="13" t="n">
        <f aca="false">COUNTIF(B29:G29,"Y")+COUNTIF(B29:G29,"P")*0.5</f>
        <v>5</v>
      </c>
    </row>
    <row r="30" customFormat="false" ht="15" hidden="false" customHeight="false" outlineLevel="0" collapsed="false">
      <c r="A30" s="20" t="s">
        <v>155</v>
      </c>
      <c r="B30" s="21" t="s">
        <v>38</v>
      </c>
      <c r="C30" s="21" t="s">
        <v>38</v>
      </c>
      <c r="D30" s="21" t="s">
        <v>38</v>
      </c>
      <c r="E30" s="21" t="s">
        <v>38</v>
      </c>
      <c r="F30" s="21" t="s">
        <v>38</v>
      </c>
      <c r="G30" s="21" t="s">
        <v>38</v>
      </c>
      <c r="H30" s="13" t="n">
        <f aca="false">COUNTIF(B30:G30,"Y")+COUNTIF(B30:G30,"P")*0.5</f>
        <v>6</v>
      </c>
    </row>
    <row r="31" customFormat="false" ht="15" hidden="false" customHeight="false" outlineLevel="0" collapsed="false">
      <c r="A31" s="18" t="s">
        <v>158</v>
      </c>
      <c r="B31" s="15" t="s">
        <v>38</v>
      </c>
      <c r="C31" s="15" t="s">
        <v>38</v>
      </c>
      <c r="D31" s="15" t="s">
        <v>38</v>
      </c>
      <c r="E31" s="15" t="s">
        <v>38</v>
      </c>
      <c r="F31" s="15" t="s">
        <v>40</v>
      </c>
      <c r="G31" s="15" t="s">
        <v>40</v>
      </c>
      <c r="H31" s="13" t="n">
        <f aca="false">COUNTIF(B31:G31,"Y")+COUNTIF(B31:G31,"P")*0.5</f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40"/>
    <col collapsed="false" customWidth="true" hidden="false" outlineLevel="0" max="6" min="6" style="0" width="18"/>
  </cols>
  <sheetData>
    <row r="1" customFormat="false" ht="27.75" hidden="false" customHeight="true" outlineLevel="0" collapsed="false">
      <c r="A1" s="16" t="s">
        <v>53</v>
      </c>
      <c r="B1" s="16" t="s">
        <v>295</v>
      </c>
      <c r="C1" s="16" t="s">
        <v>296</v>
      </c>
      <c r="D1" s="16" t="s">
        <v>297</v>
      </c>
      <c r="E1" s="16" t="s">
        <v>298</v>
      </c>
      <c r="F1" s="16" t="s">
        <v>299</v>
      </c>
    </row>
    <row r="2" customFormat="false" ht="15" hidden="false" customHeight="false" outlineLevel="0" collapsed="false">
      <c r="A2" s="17" t="s">
        <v>58</v>
      </c>
      <c r="B2" s="17" t="s">
        <v>300</v>
      </c>
      <c r="C2" s="17" t="s">
        <v>301</v>
      </c>
      <c r="D2" s="17" t="s">
        <v>302</v>
      </c>
      <c r="E2" s="17" t="s">
        <v>303</v>
      </c>
      <c r="F2" s="17" t="s">
        <v>304</v>
      </c>
    </row>
    <row r="3" customFormat="false" ht="15" hidden="false" customHeight="false" outlineLevel="0" collapsed="false">
      <c r="A3" s="17" t="s">
        <v>62</v>
      </c>
      <c r="B3" s="17" t="s">
        <v>241</v>
      </c>
      <c r="C3" s="17" t="s">
        <v>301</v>
      </c>
      <c r="D3" s="17" t="s">
        <v>241</v>
      </c>
      <c r="E3" s="17" t="s">
        <v>246</v>
      </c>
      <c r="F3" s="17" t="s">
        <v>305</v>
      </c>
    </row>
    <row r="4" customFormat="false" ht="15" hidden="false" customHeight="false" outlineLevel="0" collapsed="false">
      <c r="A4" s="17" t="s">
        <v>66</v>
      </c>
      <c r="B4" s="17" t="s">
        <v>243</v>
      </c>
      <c r="C4" s="17" t="s">
        <v>301</v>
      </c>
      <c r="D4" s="17" t="s">
        <v>306</v>
      </c>
      <c r="E4" s="17" t="s">
        <v>246</v>
      </c>
      <c r="F4" s="17" t="s">
        <v>307</v>
      </c>
    </row>
    <row r="5" customFormat="false" ht="15" hidden="false" customHeight="false" outlineLevel="0" collapsed="false">
      <c r="A5" s="17" t="s">
        <v>69</v>
      </c>
      <c r="B5" s="17" t="s">
        <v>308</v>
      </c>
      <c r="C5" s="17" t="s">
        <v>301</v>
      </c>
      <c r="D5" s="17" t="s">
        <v>241</v>
      </c>
      <c r="E5" s="17" t="s">
        <v>246</v>
      </c>
      <c r="F5" s="17" t="s">
        <v>309</v>
      </c>
    </row>
    <row r="6" customFormat="false" ht="15" hidden="false" customHeight="false" outlineLevel="0" collapsed="false">
      <c r="A6" s="17" t="s">
        <v>72</v>
      </c>
      <c r="B6" s="17" t="s">
        <v>310</v>
      </c>
      <c r="C6" s="17" t="s">
        <v>311</v>
      </c>
      <c r="D6" s="17" t="s">
        <v>312</v>
      </c>
      <c r="E6" s="17" t="s">
        <v>313</v>
      </c>
      <c r="F6" s="17" t="s">
        <v>314</v>
      </c>
    </row>
    <row r="7" customFormat="false" ht="15" hidden="false" customHeight="false" outlineLevel="0" collapsed="false">
      <c r="A7" s="17" t="s">
        <v>76</v>
      </c>
      <c r="B7" s="17" t="s">
        <v>241</v>
      </c>
      <c r="C7" s="17" t="s">
        <v>301</v>
      </c>
      <c r="D7" s="17" t="s">
        <v>241</v>
      </c>
      <c r="E7" s="17" t="s">
        <v>246</v>
      </c>
      <c r="F7" s="17" t="s">
        <v>315</v>
      </c>
    </row>
    <row r="8" customFormat="false" ht="15" hidden="false" customHeight="false" outlineLevel="0" collapsed="false">
      <c r="A8" s="17" t="s">
        <v>79</v>
      </c>
      <c r="B8" s="17" t="s">
        <v>241</v>
      </c>
      <c r="C8" s="17" t="s">
        <v>301</v>
      </c>
      <c r="D8" s="17" t="s">
        <v>241</v>
      </c>
      <c r="E8" s="17" t="s">
        <v>246</v>
      </c>
      <c r="F8" s="17" t="s">
        <v>305</v>
      </c>
    </row>
    <row r="9" customFormat="false" ht="15" hidden="false" customHeight="false" outlineLevel="0" collapsed="false">
      <c r="A9" s="17" t="s">
        <v>82</v>
      </c>
      <c r="B9" s="17" t="s">
        <v>241</v>
      </c>
      <c r="C9" s="17" t="s">
        <v>301</v>
      </c>
      <c r="D9" s="17" t="s">
        <v>241</v>
      </c>
      <c r="E9" s="17" t="s">
        <v>246</v>
      </c>
      <c r="F9" s="17" t="s">
        <v>316</v>
      </c>
    </row>
    <row r="10" customFormat="false" ht="15" hidden="false" customHeight="false" outlineLevel="0" collapsed="false">
      <c r="A10" s="17" t="s">
        <v>85</v>
      </c>
      <c r="B10" s="17" t="s">
        <v>308</v>
      </c>
      <c r="C10" s="17" t="s">
        <v>301</v>
      </c>
      <c r="D10" s="17" t="s">
        <v>241</v>
      </c>
      <c r="E10" s="17" t="s">
        <v>246</v>
      </c>
      <c r="F10" s="17" t="s">
        <v>317</v>
      </c>
    </row>
    <row r="11" customFormat="false" ht="15" hidden="false" customHeight="false" outlineLevel="0" collapsed="false">
      <c r="A11" s="17" t="s">
        <v>88</v>
      </c>
      <c r="B11" s="17" t="s">
        <v>300</v>
      </c>
      <c r="C11" s="17" t="s">
        <v>301</v>
      </c>
      <c r="D11" s="17" t="s">
        <v>318</v>
      </c>
      <c r="E11" s="17" t="s">
        <v>319</v>
      </c>
      <c r="F11" s="17" t="s">
        <v>320</v>
      </c>
    </row>
    <row r="12" customFormat="false" ht="15" hidden="false" customHeight="false" outlineLevel="0" collapsed="false">
      <c r="A12" s="17" t="s">
        <v>91</v>
      </c>
      <c r="B12" s="17" t="s">
        <v>308</v>
      </c>
      <c r="C12" s="17" t="s">
        <v>301</v>
      </c>
      <c r="D12" s="17" t="s">
        <v>241</v>
      </c>
      <c r="E12" s="17" t="s">
        <v>246</v>
      </c>
      <c r="F12" s="17" t="s">
        <v>309</v>
      </c>
    </row>
    <row r="13" customFormat="false" ht="15" hidden="false" customHeight="false" outlineLevel="0" collapsed="false">
      <c r="A13" s="17" t="s">
        <v>94</v>
      </c>
      <c r="B13" s="17" t="s">
        <v>321</v>
      </c>
      <c r="C13" s="17" t="s">
        <v>301</v>
      </c>
      <c r="D13" s="17" t="s">
        <v>322</v>
      </c>
      <c r="E13" s="17" t="s">
        <v>323</v>
      </c>
      <c r="F13" s="17" t="s">
        <v>317</v>
      </c>
    </row>
    <row r="14" customFormat="false" ht="15" hidden="false" customHeight="false" outlineLevel="0" collapsed="false">
      <c r="A14" s="17" t="s">
        <v>97</v>
      </c>
      <c r="B14" s="17" t="s">
        <v>308</v>
      </c>
      <c r="C14" s="17" t="s">
        <v>301</v>
      </c>
      <c r="D14" s="17" t="s">
        <v>241</v>
      </c>
      <c r="E14" s="17" t="s">
        <v>246</v>
      </c>
      <c r="F14" s="17" t="s">
        <v>309</v>
      </c>
    </row>
    <row r="15" customFormat="false" ht="15" hidden="false" customHeight="false" outlineLevel="0" collapsed="false">
      <c r="A15" s="17" t="s">
        <v>100</v>
      </c>
      <c r="B15" s="17" t="s">
        <v>308</v>
      </c>
      <c r="C15" s="17" t="s">
        <v>301</v>
      </c>
      <c r="D15" s="17" t="s">
        <v>241</v>
      </c>
      <c r="E15" s="17" t="s">
        <v>246</v>
      </c>
      <c r="F15" s="17" t="s">
        <v>316</v>
      </c>
    </row>
    <row r="16" customFormat="false" ht="15" hidden="false" customHeight="false" outlineLevel="0" collapsed="false">
      <c r="A16" s="17" t="s">
        <v>103</v>
      </c>
      <c r="B16" s="17" t="s">
        <v>308</v>
      </c>
      <c r="C16" s="17" t="s">
        <v>301</v>
      </c>
      <c r="D16" s="17" t="s">
        <v>241</v>
      </c>
      <c r="E16" s="17" t="s">
        <v>246</v>
      </c>
      <c r="F16" s="17" t="s">
        <v>324</v>
      </c>
    </row>
    <row r="17" customFormat="false" ht="15" hidden="false" customHeight="false" outlineLevel="0" collapsed="false">
      <c r="A17" s="17" t="s">
        <v>106</v>
      </c>
      <c r="B17" s="17" t="s">
        <v>308</v>
      </c>
      <c r="C17" s="17" t="s">
        <v>301</v>
      </c>
      <c r="D17" s="17" t="s">
        <v>241</v>
      </c>
      <c r="E17" s="17" t="s">
        <v>246</v>
      </c>
      <c r="F17" s="17" t="s">
        <v>325</v>
      </c>
    </row>
    <row r="18" customFormat="false" ht="15" hidden="false" customHeight="false" outlineLevel="0" collapsed="false">
      <c r="A18" s="17" t="s">
        <v>109</v>
      </c>
      <c r="B18" s="17" t="s">
        <v>310</v>
      </c>
      <c r="C18" s="17" t="s">
        <v>326</v>
      </c>
      <c r="D18" s="17" t="s">
        <v>327</v>
      </c>
      <c r="E18" s="17" t="s">
        <v>328</v>
      </c>
      <c r="F18" s="17" t="s">
        <v>315</v>
      </c>
    </row>
    <row r="19" customFormat="false" ht="15" hidden="false" customHeight="false" outlineLevel="0" collapsed="false">
      <c r="A19" s="17" t="s">
        <v>113</v>
      </c>
      <c r="B19" s="17" t="s">
        <v>310</v>
      </c>
      <c r="C19" s="17" t="s">
        <v>252</v>
      </c>
      <c r="D19" s="17" t="s">
        <v>329</v>
      </c>
      <c r="E19" s="17" t="s">
        <v>330</v>
      </c>
      <c r="F19" s="17" t="s">
        <v>317</v>
      </c>
    </row>
    <row r="20" customFormat="false" ht="15" hidden="false" customHeight="false" outlineLevel="0" collapsed="false">
      <c r="A20" s="17" t="s">
        <v>117</v>
      </c>
      <c r="B20" s="17" t="s">
        <v>331</v>
      </c>
      <c r="C20" s="17" t="s">
        <v>301</v>
      </c>
      <c r="D20" s="17" t="s">
        <v>332</v>
      </c>
      <c r="E20" s="17" t="s">
        <v>246</v>
      </c>
      <c r="F20" s="17" t="s">
        <v>333</v>
      </c>
    </row>
    <row r="21" customFormat="false" ht="15" hidden="false" customHeight="false" outlineLevel="0" collapsed="false">
      <c r="A21" s="17" t="s">
        <v>121</v>
      </c>
      <c r="B21" s="17" t="s">
        <v>310</v>
      </c>
      <c r="C21" s="17" t="s">
        <v>252</v>
      </c>
      <c r="D21" s="17" t="s">
        <v>334</v>
      </c>
      <c r="E21" s="17" t="s">
        <v>335</v>
      </c>
      <c r="F21" s="17" t="s">
        <v>307</v>
      </c>
    </row>
    <row r="22" customFormat="false" ht="15" hidden="false" customHeight="false" outlineLevel="0" collapsed="false">
      <c r="A22" s="17" t="s">
        <v>125</v>
      </c>
      <c r="B22" s="17" t="s">
        <v>128</v>
      </c>
      <c r="C22" s="17" t="s">
        <v>301</v>
      </c>
      <c r="D22" s="17" t="s">
        <v>241</v>
      </c>
      <c r="E22" s="17" t="s">
        <v>246</v>
      </c>
      <c r="F22" s="17" t="s">
        <v>336</v>
      </c>
    </row>
    <row r="23" customFormat="false" ht="15" hidden="false" customHeight="false" outlineLevel="0" collapsed="false">
      <c r="A23" s="17" t="s">
        <v>129</v>
      </c>
      <c r="B23" s="17" t="s">
        <v>310</v>
      </c>
      <c r="C23" s="17" t="s">
        <v>337</v>
      </c>
      <c r="D23" s="17" t="s">
        <v>338</v>
      </c>
      <c r="E23" s="17" t="s">
        <v>339</v>
      </c>
      <c r="F23" s="17" t="s">
        <v>315</v>
      </c>
    </row>
    <row r="24" customFormat="false" ht="15" hidden="false" customHeight="false" outlineLevel="0" collapsed="false">
      <c r="A24" s="17" t="s">
        <v>132</v>
      </c>
      <c r="B24" s="17" t="s">
        <v>241</v>
      </c>
      <c r="C24" s="17" t="s">
        <v>301</v>
      </c>
      <c r="D24" s="17" t="s">
        <v>241</v>
      </c>
      <c r="E24" s="17" t="s">
        <v>246</v>
      </c>
      <c r="F24" s="17" t="s">
        <v>340</v>
      </c>
    </row>
    <row r="25" customFormat="false" ht="15" hidden="false" customHeight="false" outlineLevel="0" collapsed="false">
      <c r="A25" s="17" t="s">
        <v>135</v>
      </c>
      <c r="B25" s="17" t="s">
        <v>341</v>
      </c>
      <c r="C25" s="17" t="s">
        <v>301</v>
      </c>
      <c r="D25" s="17" t="s">
        <v>241</v>
      </c>
      <c r="E25" s="17" t="s">
        <v>246</v>
      </c>
      <c r="F25" s="17" t="s">
        <v>342</v>
      </c>
    </row>
    <row r="26" customFormat="false" ht="23.85" hidden="false" customHeight="false" outlineLevel="0" collapsed="false">
      <c r="A26" s="17" t="s">
        <v>139</v>
      </c>
      <c r="B26" s="17" t="s">
        <v>343</v>
      </c>
      <c r="C26" s="17" t="s">
        <v>301</v>
      </c>
      <c r="D26" s="17" t="s">
        <v>241</v>
      </c>
      <c r="E26" s="17" t="s">
        <v>246</v>
      </c>
      <c r="F26" s="17" t="s">
        <v>344</v>
      </c>
    </row>
    <row r="27" customFormat="false" ht="15" hidden="false" customHeight="false" outlineLevel="0" collapsed="false">
      <c r="A27" s="17" t="s">
        <v>143</v>
      </c>
      <c r="B27" s="17" t="s">
        <v>308</v>
      </c>
      <c r="C27" s="17" t="s">
        <v>301</v>
      </c>
      <c r="D27" s="17" t="s">
        <v>241</v>
      </c>
      <c r="E27" s="17" t="s">
        <v>246</v>
      </c>
      <c r="F27" s="17" t="s">
        <v>345</v>
      </c>
    </row>
    <row r="28" customFormat="false" ht="15" hidden="false" customHeight="false" outlineLevel="0" collapsed="false">
      <c r="A28" s="17" t="s">
        <v>147</v>
      </c>
      <c r="B28" s="17" t="s">
        <v>300</v>
      </c>
      <c r="C28" s="17" t="s">
        <v>301</v>
      </c>
      <c r="D28" s="17" t="s">
        <v>346</v>
      </c>
      <c r="E28" s="17" t="s">
        <v>347</v>
      </c>
      <c r="F28" s="17" t="s">
        <v>320</v>
      </c>
    </row>
    <row r="29" customFormat="false" ht="15" hidden="false" customHeight="false" outlineLevel="0" collapsed="false">
      <c r="A29" s="17" t="s">
        <v>151</v>
      </c>
      <c r="B29" s="17" t="s">
        <v>321</v>
      </c>
      <c r="C29" s="17" t="s">
        <v>301</v>
      </c>
      <c r="D29" s="17" t="s">
        <v>348</v>
      </c>
      <c r="E29" s="17" t="s">
        <v>349</v>
      </c>
      <c r="F29" s="17" t="s">
        <v>315</v>
      </c>
    </row>
    <row r="30" customFormat="false" ht="15" hidden="false" customHeight="false" outlineLevel="0" collapsed="false">
      <c r="A30" s="17" t="s">
        <v>155</v>
      </c>
      <c r="B30" s="17" t="s">
        <v>343</v>
      </c>
      <c r="C30" s="17" t="s">
        <v>301</v>
      </c>
      <c r="D30" s="17" t="s">
        <v>241</v>
      </c>
      <c r="E30" s="17" t="s">
        <v>246</v>
      </c>
      <c r="F30" s="17" t="s">
        <v>305</v>
      </c>
    </row>
    <row r="31" customFormat="false" ht="15" hidden="false" customHeight="false" outlineLevel="0" collapsed="false">
      <c r="A31" s="18" t="s">
        <v>158</v>
      </c>
      <c r="B31" s="18" t="s">
        <v>350</v>
      </c>
      <c r="C31" s="18" t="s">
        <v>351</v>
      </c>
      <c r="D31" s="18" t="s">
        <v>352</v>
      </c>
      <c r="E31" s="18" t="s">
        <v>353</v>
      </c>
      <c r="F31" s="18" t="s">
        <v>354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8"/>
    <col collapsed="false" customWidth="true" hidden="false" outlineLevel="0" max="3" min="3" style="0" width="50"/>
    <col collapsed="false" customWidth="true" hidden="false" outlineLevel="0" max="4" min="4" style="0" width="28"/>
    <col collapsed="false" customWidth="true" hidden="false" outlineLevel="0" max="5" min="5" style="0" width="38"/>
    <col collapsed="false" customWidth="true" hidden="false" outlineLevel="0" max="6" min="6" style="0" width="12"/>
    <col collapsed="false" customWidth="true" hidden="false" outlineLevel="0" max="7" min="7" style="0" width="10"/>
  </cols>
  <sheetData>
    <row r="1" customFormat="false" ht="27.75" hidden="false" customHeight="true" outlineLevel="0" collapsed="false">
      <c r="A1" s="16" t="s">
        <v>355</v>
      </c>
      <c r="B1" s="16" t="s">
        <v>356</v>
      </c>
      <c r="C1" s="16" t="s">
        <v>357</v>
      </c>
      <c r="D1" s="16" t="s">
        <v>358</v>
      </c>
      <c r="E1" s="16" t="s">
        <v>359</v>
      </c>
      <c r="F1" s="16" t="s">
        <v>360</v>
      </c>
      <c r="G1" s="16" t="s">
        <v>361</v>
      </c>
    </row>
    <row r="2" customFormat="false" ht="23.85" hidden="false" customHeight="false" outlineLevel="0" collapsed="false">
      <c r="A2" s="17" t="s">
        <v>362</v>
      </c>
      <c r="B2" s="17" t="s">
        <v>363</v>
      </c>
      <c r="C2" s="17" t="s">
        <v>364</v>
      </c>
      <c r="D2" s="17" t="s">
        <v>365</v>
      </c>
      <c r="E2" s="17" t="s">
        <v>366</v>
      </c>
      <c r="F2" s="23" t="s">
        <v>367</v>
      </c>
      <c r="G2" s="10" t="s">
        <v>44</v>
      </c>
    </row>
    <row r="3" customFormat="false" ht="23.85" hidden="false" customHeight="false" outlineLevel="0" collapsed="false">
      <c r="A3" s="17" t="s">
        <v>362</v>
      </c>
      <c r="B3" s="17" t="s">
        <v>368</v>
      </c>
      <c r="C3" s="17" t="s">
        <v>369</v>
      </c>
      <c r="D3" s="17" t="s">
        <v>365</v>
      </c>
      <c r="E3" s="17" t="s">
        <v>370</v>
      </c>
      <c r="F3" s="23" t="s">
        <v>367</v>
      </c>
      <c r="G3" s="10" t="s">
        <v>44</v>
      </c>
    </row>
    <row r="4" customFormat="false" ht="15" hidden="false" customHeight="false" outlineLevel="0" collapsed="false">
      <c r="A4" s="17" t="s">
        <v>362</v>
      </c>
      <c r="B4" s="17" t="s">
        <v>371</v>
      </c>
      <c r="C4" s="17" t="s">
        <v>372</v>
      </c>
      <c r="D4" s="17" t="s">
        <v>365</v>
      </c>
      <c r="E4" s="17" t="s">
        <v>373</v>
      </c>
      <c r="F4" s="23" t="s">
        <v>374</v>
      </c>
      <c r="G4" s="22" t="s">
        <v>46</v>
      </c>
    </row>
    <row r="5" customFormat="false" ht="23.85" hidden="false" customHeight="false" outlineLevel="0" collapsed="false">
      <c r="A5" s="17" t="s">
        <v>375</v>
      </c>
      <c r="B5" s="17" t="s">
        <v>376</v>
      </c>
      <c r="C5" s="17" t="s">
        <v>377</v>
      </c>
      <c r="D5" s="17" t="s">
        <v>365</v>
      </c>
      <c r="E5" s="17" t="s">
        <v>378</v>
      </c>
      <c r="F5" s="23" t="s">
        <v>367</v>
      </c>
      <c r="G5" s="10" t="s">
        <v>44</v>
      </c>
    </row>
    <row r="6" customFormat="false" ht="23.85" hidden="false" customHeight="false" outlineLevel="0" collapsed="false">
      <c r="A6" s="17" t="s">
        <v>375</v>
      </c>
      <c r="B6" s="17" t="s">
        <v>379</v>
      </c>
      <c r="C6" s="17" t="s">
        <v>380</v>
      </c>
      <c r="D6" s="17" t="s">
        <v>365</v>
      </c>
      <c r="E6" s="17" t="s">
        <v>381</v>
      </c>
      <c r="F6" s="23" t="s">
        <v>382</v>
      </c>
      <c r="G6" s="22" t="s">
        <v>46</v>
      </c>
    </row>
    <row r="7" customFormat="false" ht="23.85" hidden="false" customHeight="false" outlineLevel="0" collapsed="false">
      <c r="A7" s="17" t="s">
        <v>375</v>
      </c>
      <c r="B7" s="17" t="s">
        <v>383</v>
      </c>
      <c r="C7" s="17" t="s">
        <v>384</v>
      </c>
      <c r="D7" s="17" t="s">
        <v>365</v>
      </c>
      <c r="E7" s="17" t="s">
        <v>385</v>
      </c>
      <c r="F7" s="23" t="s">
        <v>382</v>
      </c>
      <c r="G7" s="26" t="s">
        <v>48</v>
      </c>
    </row>
    <row r="8" customFormat="false" ht="15" hidden="false" customHeight="false" outlineLevel="0" collapsed="false">
      <c r="A8" s="17" t="s">
        <v>386</v>
      </c>
      <c r="B8" s="17" t="s">
        <v>387</v>
      </c>
      <c r="C8" s="17" t="s">
        <v>388</v>
      </c>
      <c r="D8" s="17" t="s">
        <v>389</v>
      </c>
      <c r="E8" s="17" t="s">
        <v>390</v>
      </c>
      <c r="F8" s="23" t="s">
        <v>374</v>
      </c>
      <c r="G8" s="10" t="s">
        <v>44</v>
      </c>
    </row>
    <row r="9" customFormat="false" ht="15" hidden="false" customHeight="false" outlineLevel="0" collapsed="false">
      <c r="A9" s="17" t="s">
        <v>386</v>
      </c>
      <c r="B9" s="17" t="s">
        <v>391</v>
      </c>
      <c r="C9" s="17" t="s">
        <v>392</v>
      </c>
      <c r="D9" s="17" t="s">
        <v>393</v>
      </c>
      <c r="E9" s="17" t="s">
        <v>394</v>
      </c>
      <c r="F9" s="23" t="s">
        <v>367</v>
      </c>
      <c r="G9" s="10" t="s">
        <v>44</v>
      </c>
    </row>
    <row r="10" customFormat="false" ht="15" hidden="false" customHeight="false" outlineLevel="0" collapsed="false">
      <c r="A10" s="17" t="s">
        <v>386</v>
      </c>
      <c r="B10" s="17" t="s">
        <v>395</v>
      </c>
      <c r="C10" s="17" t="s">
        <v>396</v>
      </c>
      <c r="D10" s="17" t="s">
        <v>365</v>
      </c>
      <c r="E10" s="17" t="s">
        <v>397</v>
      </c>
      <c r="F10" s="23" t="s">
        <v>374</v>
      </c>
      <c r="G10" s="10" t="s">
        <v>44</v>
      </c>
    </row>
    <row r="11" customFormat="false" ht="23.85" hidden="false" customHeight="false" outlineLevel="0" collapsed="false">
      <c r="A11" s="17" t="s">
        <v>398</v>
      </c>
      <c r="B11" s="17" t="s">
        <v>399</v>
      </c>
      <c r="C11" s="17" t="s">
        <v>400</v>
      </c>
      <c r="D11" s="17" t="s">
        <v>365</v>
      </c>
      <c r="E11" s="17" t="s">
        <v>401</v>
      </c>
      <c r="F11" s="23" t="s">
        <v>367</v>
      </c>
      <c r="G11" s="10" t="s">
        <v>44</v>
      </c>
    </row>
    <row r="12" customFormat="false" ht="15" hidden="false" customHeight="false" outlineLevel="0" collapsed="false">
      <c r="A12" s="17" t="s">
        <v>398</v>
      </c>
      <c r="B12" s="17" t="s">
        <v>402</v>
      </c>
      <c r="C12" s="17" t="s">
        <v>403</v>
      </c>
      <c r="D12" s="17" t="s">
        <v>404</v>
      </c>
      <c r="E12" s="17" t="s">
        <v>405</v>
      </c>
      <c r="F12" s="23" t="s">
        <v>374</v>
      </c>
      <c r="G12" s="10" t="s">
        <v>44</v>
      </c>
    </row>
    <row r="13" customFormat="false" ht="15" hidden="false" customHeight="false" outlineLevel="0" collapsed="false">
      <c r="A13" s="17" t="s">
        <v>398</v>
      </c>
      <c r="B13" s="17" t="s">
        <v>406</v>
      </c>
      <c r="C13" s="17" t="s">
        <v>407</v>
      </c>
      <c r="D13" s="17" t="s">
        <v>365</v>
      </c>
      <c r="E13" s="17" t="s">
        <v>408</v>
      </c>
      <c r="F13" s="23" t="s">
        <v>367</v>
      </c>
      <c r="G13" s="22" t="s">
        <v>46</v>
      </c>
    </row>
    <row r="14" customFormat="false" ht="23.85" hidden="false" customHeight="false" outlineLevel="0" collapsed="false">
      <c r="A14" s="17" t="s">
        <v>409</v>
      </c>
      <c r="B14" s="17" t="s">
        <v>410</v>
      </c>
      <c r="C14" s="17" t="s">
        <v>411</v>
      </c>
      <c r="D14" s="17" t="s">
        <v>412</v>
      </c>
      <c r="E14" s="17" t="s">
        <v>413</v>
      </c>
      <c r="F14" s="23" t="s">
        <v>382</v>
      </c>
      <c r="G14" s="22" t="s">
        <v>46</v>
      </c>
    </row>
    <row r="15" customFormat="false" ht="15" hidden="false" customHeight="false" outlineLevel="0" collapsed="false">
      <c r="A15" s="17" t="s">
        <v>409</v>
      </c>
      <c r="B15" s="17" t="s">
        <v>414</v>
      </c>
      <c r="C15" s="17" t="s">
        <v>415</v>
      </c>
      <c r="D15" s="17" t="s">
        <v>416</v>
      </c>
      <c r="E15" s="17" t="s">
        <v>417</v>
      </c>
      <c r="F15" s="23" t="s">
        <v>367</v>
      </c>
      <c r="G15" s="26" t="s">
        <v>48</v>
      </c>
    </row>
    <row r="16" customFormat="false" ht="15" hidden="false" customHeight="false" outlineLevel="0" collapsed="false">
      <c r="A16" s="17" t="s">
        <v>409</v>
      </c>
      <c r="B16" s="17" t="s">
        <v>418</v>
      </c>
      <c r="C16" s="17" t="s">
        <v>419</v>
      </c>
      <c r="D16" s="17" t="s">
        <v>365</v>
      </c>
      <c r="E16" s="17" t="s">
        <v>420</v>
      </c>
      <c r="F16" s="23" t="s">
        <v>367</v>
      </c>
      <c r="G16" s="10" t="s">
        <v>44</v>
      </c>
    </row>
    <row r="17" customFormat="false" ht="15" hidden="false" customHeight="false" outlineLevel="0" collapsed="false">
      <c r="A17" s="17" t="s">
        <v>421</v>
      </c>
      <c r="B17" s="17" t="s">
        <v>422</v>
      </c>
      <c r="C17" s="17" t="s">
        <v>423</v>
      </c>
      <c r="D17" s="17" t="s">
        <v>404</v>
      </c>
      <c r="E17" s="17" t="s">
        <v>424</v>
      </c>
      <c r="F17" s="23" t="s">
        <v>374</v>
      </c>
      <c r="G17" s="26" t="s">
        <v>48</v>
      </c>
    </row>
    <row r="18" customFormat="false" ht="15" hidden="false" customHeight="false" outlineLevel="0" collapsed="false">
      <c r="A18" s="17" t="s">
        <v>421</v>
      </c>
      <c r="B18" s="17" t="s">
        <v>425</v>
      </c>
      <c r="C18" s="17" t="s">
        <v>426</v>
      </c>
      <c r="D18" s="17" t="s">
        <v>365</v>
      </c>
      <c r="E18" s="17" t="s">
        <v>427</v>
      </c>
      <c r="F18" s="23" t="s">
        <v>374</v>
      </c>
      <c r="G18" s="26" t="s">
        <v>48</v>
      </c>
    </row>
    <row r="19" customFormat="false" ht="15" hidden="false" customHeight="false" outlineLevel="0" collapsed="false">
      <c r="A19" s="17" t="s">
        <v>428</v>
      </c>
      <c r="B19" s="17" t="s">
        <v>429</v>
      </c>
      <c r="C19" s="17" t="s">
        <v>430</v>
      </c>
      <c r="D19" s="17" t="s">
        <v>365</v>
      </c>
      <c r="E19" s="17" t="s">
        <v>431</v>
      </c>
      <c r="F19" s="23" t="s">
        <v>374</v>
      </c>
      <c r="G19" s="22" t="s">
        <v>46</v>
      </c>
    </row>
    <row r="20" customFormat="false" ht="23.85" hidden="false" customHeight="false" outlineLevel="0" collapsed="false">
      <c r="A20" s="17" t="s">
        <v>432</v>
      </c>
      <c r="B20" s="17" t="s">
        <v>433</v>
      </c>
      <c r="C20" s="17" t="s">
        <v>434</v>
      </c>
      <c r="D20" s="17" t="s">
        <v>435</v>
      </c>
      <c r="E20" s="17" t="s">
        <v>436</v>
      </c>
      <c r="F20" s="23" t="s">
        <v>382</v>
      </c>
      <c r="G20" s="26" t="s">
        <v>48</v>
      </c>
    </row>
    <row r="21" customFormat="false" ht="15" hidden="false" customHeight="false" outlineLevel="0" collapsed="false">
      <c r="A21" s="17" t="s">
        <v>432</v>
      </c>
      <c r="B21" s="17" t="s">
        <v>437</v>
      </c>
      <c r="C21" s="17" t="s">
        <v>438</v>
      </c>
      <c r="D21" s="17" t="s">
        <v>439</v>
      </c>
      <c r="E21" s="17" t="s">
        <v>440</v>
      </c>
      <c r="F21" s="23" t="s">
        <v>382</v>
      </c>
      <c r="G21" s="26" t="s">
        <v>48</v>
      </c>
    </row>
    <row r="22" customFormat="false" ht="15" hidden="false" customHeight="false" outlineLevel="0" collapsed="false">
      <c r="A22" s="17" t="s">
        <v>164</v>
      </c>
      <c r="B22" s="17" t="s">
        <v>441</v>
      </c>
      <c r="C22" s="17" t="s">
        <v>442</v>
      </c>
      <c r="D22" s="17" t="s">
        <v>365</v>
      </c>
      <c r="E22" s="17" t="s">
        <v>443</v>
      </c>
      <c r="F22" s="23" t="s">
        <v>374</v>
      </c>
      <c r="G22" s="22" t="s">
        <v>46</v>
      </c>
    </row>
    <row r="23" customFormat="false" ht="23.85" hidden="false" customHeight="false" outlineLevel="0" collapsed="false">
      <c r="A23" s="17" t="s">
        <v>164</v>
      </c>
      <c r="B23" s="17" t="s">
        <v>444</v>
      </c>
      <c r="C23" s="17" t="s">
        <v>445</v>
      </c>
      <c r="D23" s="17" t="s">
        <v>365</v>
      </c>
      <c r="E23" s="17" t="s">
        <v>446</v>
      </c>
      <c r="F23" s="23" t="s">
        <v>367</v>
      </c>
      <c r="G23" s="26" t="s">
        <v>48</v>
      </c>
    </row>
    <row r="24" customFormat="false" ht="23.85" hidden="false" customHeight="false" outlineLevel="0" collapsed="false">
      <c r="A24" s="17" t="s">
        <v>432</v>
      </c>
      <c r="B24" s="17" t="s">
        <v>447</v>
      </c>
      <c r="C24" s="17" t="s">
        <v>448</v>
      </c>
      <c r="D24" s="17" t="s">
        <v>449</v>
      </c>
      <c r="E24" s="17" t="s">
        <v>450</v>
      </c>
      <c r="F24" s="23" t="s">
        <v>374</v>
      </c>
      <c r="G24" s="22" t="s">
        <v>46</v>
      </c>
    </row>
    <row r="25" customFormat="false" ht="23.85" hidden="false" customHeight="false" outlineLevel="0" collapsed="false">
      <c r="A25" s="17" t="s">
        <v>432</v>
      </c>
      <c r="B25" s="17" t="s">
        <v>451</v>
      </c>
      <c r="C25" s="17" t="s">
        <v>452</v>
      </c>
      <c r="D25" s="17" t="s">
        <v>365</v>
      </c>
      <c r="E25" s="17" t="s">
        <v>453</v>
      </c>
      <c r="F25" s="23" t="s">
        <v>367</v>
      </c>
      <c r="G25" s="26" t="s">
        <v>48</v>
      </c>
    </row>
    <row r="26" customFormat="false" ht="23.85" hidden="false" customHeight="false" outlineLevel="0" collapsed="false">
      <c r="A26" s="17" t="s">
        <v>164</v>
      </c>
      <c r="B26" s="17" t="s">
        <v>454</v>
      </c>
      <c r="C26" s="17" t="s">
        <v>455</v>
      </c>
      <c r="D26" s="17" t="s">
        <v>456</v>
      </c>
      <c r="E26" s="17" t="s">
        <v>457</v>
      </c>
      <c r="F26" s="23" t="s">
        <v>367</v>
      </c>
      <c r="G26" s="10" t="s">
        <v>44</v>
      </c>
    </row>
    <row r="27" customFormat="false" ht="23.85" hidden="false" customHeight="false" outlineLevel="0" collapsed="false">
      <c r="A27" s="17" t="s">
        <v>168</v>
      </c>
      <c r="B27" s="17" t="s">
        <v>458</v>
      </c>
      <c r="C27" s="17" t="s">
        <v>459</v>
      </c>
      <c r="D27" s="17" t="s">
        <v>365</v>
      </c>
      <c r="E27" s="17" t="s">
        <v>460</v>
      </c>
      <c r="F27" s="23" t="s">
        <v>367</v>
      </c>
      <c r="G27" s="10" t="s">
        <v>44</v>
      </c>
    </row>
    <row r="28" customFormat="false" ht="23.85" hidden="false" customHeight="false" outlineLevel="0" collapsed="false">
      <c r="A28" s="17" t="s">
        <v>168</v>
      </c>
      <c r="B28" s="17" t="s">
        <v>461</v>
      </c>
      <c r="C28" s="17" t="s">
        <v>462</v>
      </c>
      <c r="D28" s="17" t="s">
        <v>365</v>
      </c>
      <c r="E28" s="17" t="s">
        <v>463</v>
      </c>
      <c r="F28" s="23" t="s">
        <v>374</v>
      </c>
      <c r="G28" s="10" t="s">
        <v>44</v>
      </c>
    </row>
    <row r="29" customFormat="false" ht="15" hidden="false" customHeight="false" outlineLevel="0" collapsed="false">
      <c r="A29" s="17" t="s">
        <v>168</v>
      </c>
      <c r="B29" s="17" t="s">
        <v>464</v>
      </c>
      <c r="C29" s="17" t="s">
        <v>465</v>
      </c>
      <c r="D29" s="17" t="s">
        <v>365</v>
      </c>
      <c r="E29" s="17" t="s">
        <v>466</v>
      </c>
      <c r="F29" s="23" t="s">
        <v>367</v>
      </c>
      <c r="G29" s="10" t="s">
        <v>44</v>
      </c>
    </row>
    <row r="30" customFormat="false" ht="15" hidden="false" customHeight="false" outlineLevel="0" collapsed="false">
      <c r="A30" s="17" t="s">
        <v>168</v>
      </c>
      <c r="B30" s="17" t="s">
        <v>467</v>
      </c>
      <c r="C30" s="17" t="s">
        <v>468</v>
      </c>
      <c r="D30" s="17" t="s">
        <v>365</v>
      </c>
      <c r="E30" s="17" t="s">
        <v>469</v>
      </c>
      <c r="F30" s="23" t="s">
        <v>374</v>
      </c>
      <c r="G30" s="22" t="s">
        <v>46</v>
      </c>
    </row>
    <row r="31" customFormat="false" ht="15" hidden="false" customHeight="false" outlineLevel="0" collapsed="false">
      <c r="A31" s="17" t="s">
        <v>168</v>
      </c>
      <c r="B31" s="17" t="s">
        <v>470</v>
      </c>
      <c r="C31" s="17" t="s">
        <v>471</v>
      </c>
      <c r="D31" s="17" t="s">
        <v>472</v>
      </c>
      <c r="E31" s="17" t="s">
        <v>473</v>
      </c>
      <c r="F31" s="23" t="s">
        <v>367</v>
      </c>
      <c r="G31" s="26" t="s">
        <v>48</v>
      </c>
    </row>
    <row r="32" customFormat="false" ht="23.85" hidden="false" customHeight="false" outlineLevel="0" collapsed="false">
      <c r="A32" s="17" t="s">
        <v>169</v>
      </c>
      <c r="B32" s="17" t="s">
        <v>474</v>
      </c>
      <c r="C32" s="17" t="s">
        <v>475</v>
      </c>
      <c r="D32" s="17" t="s">
        <v>476</v>
      </c>
      <c r="E32" s="17" t="s">
        <v>477</v>
      </c>
      <c r="F32" s="23" t="s">
        <v>367</v>
      </c>
      <c r="G32" s="22" t="s">
        <v>46</v>
      </c>
    </row>
    <row r="33" customFormat="false" ht="23.85" hidden="false" customHeight="false" outlineLevel="0" collapsed="false">
      <c r="A33" s="17" t="s">
        <v>169</v>
      </c>
      <c r="B33" s="17" t="s">
        <v>478</v>
      </c>
      <c r="C33" s="17" t="s">
        <v>479</v>
      </c>
      <c r="D33" s="17" t="s">
        <v>365</v>
      </c>
      <c r="E33" s="17" t="s">
        <v>480</v>
      </c>
      <c r="F33" s="23" t="s">
        <v>374</v>
      </c>
      <c r="G33" s="26" t="s">
        <v>48</v>
      </c>
    </row>
    <row r="34" customFormat="false" ht="23.85" hidden="false" customHeight="false" outlineLevel="0" collapsed="false">
      <c r="A34" s="17" t="s">
        <v>169</v>
      </c>
      <c r="B34" s="17" t="s">
        <v>481</v>
      </c>
      <c r="C34" s="17" t="s">
        <v>482</v>
      </c>
      <c r="D34" s="17" t="s">
        <v>483</v>
      </c>
      <c r="E34" s="17" t="s">
        <v>484</v>
      </c>
      <c r="F34" s="23" t="s">
        <v>374</v>
      </c>
      <c r="G34" s="26" t="s">
        <v>48</v>
      </c>
    </row>
    <row r="35" customFormat="false" ht="23.85" hidden="false" customHeight="false" outlineLevel="0" collapsed="false">
      <c r="A35" s="17" t="s">
        <v>375</v>
      </c>
      <c r="B35" s="17" t="s">
        <v>485</v>
      </c>
      <c r="C35" s="17" t="s">
        <v>486</v>
      </c>
      <c r="D35" s="17" t="s">
        <v>365</v>
      </c>
      <c r="E35" s="17" t="s">
        <v>487</v>
      </c>
      <c r="F35" s="23" t="s">
        <v>382</v>
      </c>
      <c r="G35" s="22" t="s">
        <v>46</v>
      </c>
    </row>
    <row r="36" customFormat="false" ht="23.85" hidden="false" customHeight="false" outlineLevel="0" collapsed="false">
      <c r="A36" s="17" t="s">
        <v>375</v>
      </c>
      <c r="B36" s="17" t="s">
        <v>488</v>
      </c>
      <c r="C36" s="17" t="s">
        <v>489</v>
      </c>
      <c r="D36" s="17" t="s">
        <v>490</v>
      </c>
      <c r="E36" s="17" t="s">
        <v>491</v>
      </c>
      <c r="F36" s="23" t="s">
        <v>367</v>
      </c>
      <c r="G36" s="10" t="s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2026-05-02T11:06:58Z</dcterms:created>
  <dc:creator>openpyxl</dc:creator>
  <dc:description/>
  <dc:language>en-US</dc:language>
  <cp:lastModifiedBy/>
  <dcterms:modified xsi:type="dcterms:W3CDTF">2026-05-02T11:06:58Z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